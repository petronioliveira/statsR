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o\Dropbox\Estatistica\statsR\dados\"/>
    </mc:Choice>
  </mc:AlternateContent>
  <xr:revisionPtr revIDLastSave="0" documentId="13_ncr:1_{C0716614-A506-4F19-A592-030F7C165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T2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3" i="1"/>
  <c r="U4" i="1"/>
  <c r="U5" i="1"/>
  <c r="U6" i="1"/>
  <c r="U2" i="1"/>
</calcChain>
</file>

<file path=xl/sharedStrings.xml><?xml version="1.0" encoding="utf-8"?>
<sst xmlns="http://schemas.openxmlformats.org/spreadsheetml/2006/main" count="346" uniqueCount="26">
  <si>
    <t>id</t>
  </si>
  <si>
    <t>grupo</t>
  </si>
  <si>
    <t>faixaEtaria</t>
  </si>
  <si>
    <t>idade</t>
  </si>
  <si>
    <t>sexo</t>
  </si>
  <si>
    <t>gravidade</t>
  </si>
  <si>
    <t>clin0</t>
  </si>
  <si>
    <t>clin30</t>
  </si>
  <si>
    <t>clin60</t>
  </si>
  <si>
    <t>clin90</t>
  </si>
  <si>
    <t>clin120</t>
  </si>
  <si>
    <t>pfe1</t>
  </si>
  <si>
    <t>pfe2</t>
  </si>
  <si>
    <t>pfe3</t>
  </si>
  <si>
    <t>pfe4</t>
  </si>
  <si>
    <t>pfe5</t>
  </si>
  <si>
    <t>fev1i</t>
  </si>
  <si>
    <t>fev1f</t>
  </si>
  <si>
    <t>caso</t>
  </si>
  <si>
    <t>crianca</t>
  </si>
  <si>
    <t>menino</t>
  </si>
  <si>
    <t>nao_control</t>
  </si>
  <si>
    <t>menina</t>
  </si>
  <si>
    <t>adolescente</t>
  </si>
  <si>
    <t>grave</t>
  </si>
  <si>
    <t>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</si>
</sst>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"/>
  <sheetViews>
    <sheetView tabSelected="1" workbookViewId="0">
      <selection activeCell="X9" sqref="X8:X9"/>
    </sheetView>
  </sheetViews>
  <sheetFormatPr defaultRowHeight="15" x14ac:dyDescent="0.25"/>
  <cols>
    <col min="3" max="3" width="11.85546875" bestFit="1" customWidth="1"/>
    <col min="6" max="6" width="11.5703125" bestFit="1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3" x14ac:dyDescent="0.25">
      <c r="A2">
        <v>1</v>
      </c>
      <c r="B2" t="s">
        <v>18</v>
      </c>
      <c r="C2" t="s">
        <v>19</v>
      </c>
      <c r="D2">
        <v>10.299999999999999</v>
      </c>
      <c r="E2" t="s">
        <v>20</v>
      </c>
      <c r="F2" t="s">
        <v>21</v>
      </c>
      <c r="G2">
        <v>6</v>
      </c>
      <c r="H2">
        <v>6</v>
      </c>
      <c r="I2">
        <v>3</v>
      </c>
      <c r="J2">
        <v>6</v>
      </c>
      <c r="K2">
        <v>5</v>
      </c>
      <c r="L2">
        <v>170</v>
      </c>
      <c r="M2">
        <v>180</v>
      </c>
      <c r="N2">
        <v>220</v>
      </c>
      <c r="O2">
        <v>200</v>
      </c>
      <c r="P2">
        <v>200</v>
      </c>
      <c r="Q2">
        <v>56.7</v>
      </c>
      <c r="R2">
        <v>66.7</v>
      </c>
      <c r="T2">
        <f>_xlfn.VAR.S(N2:N42)</f>
        <v>3149.024390243902</v>
      </c>
      <c r="U2">
        <f>N2 +(N2/10)</f>
        <v>242</v>
      </c>
      <c r="W2">
        <f>_xlfn.VAR.S(U2:U42)</f>
        <v>3810.3195121951167</v>
      </c>
    </row>
    <row r="3" spans="1:23" x14ac:dyDescent="0.25">
      <c r="A3">
        <v>2</v>
      </c>
      <c r="B3" t="s">
        <v>18</v>
      </c>
      <c r="C3" t="s">
        <v>19</v>
      </c>
      <c r="D3">
        <v>7.8999999999999995</v>
      </c>
      <c r="E3" t="s">
        <v>22</v>
      </c>
      <c r="F3" t="s">
        <v>21</v>
      </c>
      <c r="G3">
        <v>6</v>
      </c>
      <c r="H3">
        <v>6</v>
      </c>
      <c r="I3">
        <v>4</v>
      </c>
      <c r="J3">
        <v>0</v>
      </c>
      <c r="K3">
        <v>0</v>
      </c>
      <c r="L3">
        <v>100</v>
      </c>
      <c r="M3">
        <v>140</v>
      </c>
      <c r="N3">
        <v>100</v>
      </c>
      <c r="O3">
        <v>210</v>
      </c>
      <c r="P3">
        <v>210</v>
      </c>
      <c r="Q3">
        <v>47.6</v>
      </c>
      <c r="R3">
        <v>78.569999999999993</v>
      </c>
      <c r="U3">
        <f t="shared" ref="U3:U66" si="0">N3 +(N3/10)</f>
        <v>110</v>
      </c>
    </row>
    <row r="4" spans="1:23" x14ac:dyDescent="0.25">
      <c r="A4">
        <v>3</v>
      </c>
      <c r="B4" t="s">
        <v>18</v>
      </c>
      <c r="C4" t="s">
        <v>19</v>
      </c>
      <c r="D4">
        <v>9</v>
      </c>
      <c r="E4" t="s">
        <v>22</v>
      </c>
      <c r="F4" t="s">
        <v>21</v>
      </c>
      <c r="G4">
        <v>6</v>
      </c>
      <c r="H4">
        <v>5</v>
      </c>
      <c r="I4">
        <v>2</v>
      </c>
      <c r="J4">
        <v>4</v>
      </c>
      <c r="K4">
        <v>5</v>
      </c>
      <c r="L4">
        <v>160</v>
      </c>
      <c r="M4">
        <v>180</v>
      </c>
      <c r="N4">
        <v>220</v>
      </c>
      <c r="O4">
        <v>180</v>
      </c>
      <c r="P4">
        <v>180</v>
      </c>
      <c r="Q4">
        <v>72.72</v>
      </c>
      <c r="R4">
        <v>97.72</v>
      </c>
      <c r="U4">
        <f t="shared" si="0"/>
        <v>242</v>
      </c>
    </row>
    <row r="5" spans="1:23" x14ac:dyDescent="0.25">
      <c r="A5">
        <v>4</v>
      </c>
      <c r="B5" t="s">
        <v>18</v>
      </c>
      <c r="C5" t="s">
        <v>19</v>
      </c>
      <c r="D5">
        <v>10.799999999999999</v>
      </c>
      <c r="E5" t="s">
        <v>20</v>
      </c>
      <c r="F5" t="s">
        <v>21</v>
      </c>
      <c r="G5">
        <v>5</v>
      </c>
      <c r="H5">
        <v>5</v>
      </c>
      <c r="I5">
        <v>3</v>
      </c>
      <c r="J5">
        <v>6</v>
      </c>
      <c r="K5">
        <v>6</v>
      </c>
      <c r="L5">
        <v>180</v>
      </c>
      <c r="M5">
        <v>180</v>
      </c>
      <c r="N5">
        <v>250</v>
      </c>
      <c r="O5">
        <v>180</v>
      </c>
      <c r="P5">
        <v>190</v>
      </c>
      <c r="Q5">
        <v>60</v>
      </c>
      <c r="R5">
        <v>66.7</v>
      </c>
      <c r="U5">
        <f t="shared" si="0"/>
        <v>275</v>
      </c>
    </row>
    <row r="6" spans="1:23" x14ac:dyDescent="0.25">
      <c r="A6">
        <v>5</v>
      </c>
      <c r="B6" t="s">
        <v>18</v>
      </c>
      <c r="C6" t="s">
        <v>23</v>
      </c>
      <c r="D6">
        <v>12.799999999999999</v>
      </c>
      <c r="E6" t="s">
        <v>20</v>
      </c>
      <c r="F6" t="s">
        <v>21</v>
      </c>
      <c r="G6">
        <v>5</v>
      </c>
      <c r="H6">
        <v>0</v>
      </c>
      <c r="I6">
        <v>4</v>
      </c>
      <c r="J6">
        <v>0</v>
      </c>
      <c r="K6">
        <v>0</v>
      </c>
      <c r="L6">
        <v>250</v>
      </c>
      <c r="M6">
        <v>300</v>
      </c>
      <c r="N6">
        <v>240</v>
      </c>
      <c r="O6">
        <v>300</v>
      </c>
      <c r="P6">
        <v>300</v>
      </c>
      <c r="Q6">
        <v>67.56</v>
      </c>
      <c r="R6">
        <v>77</v>
      </c>
      <c r="U6">
        <f t="shared" si="0"/>
        <v>264</v>
      </c>
    </row>
    <row r="7" spans="1:23" x14ac:dyDescent="0.25">
      <c r="A7">
        <v>6</v>
      </c>
      <c r="B7" t="s">
        <v>18</v>
      </c>
      <c r="C7" t="s">
        <v>23</v>
      </c>
      <c r="D7">
        <v>13.4</v>
      </c>
      <c r="E7" t="s">
        <v>20</v>
      </c>
      <c r="F7" t="s">
        <v>21</v>
      </c>
      <c r="G7">
        <v>4</v>
      </c>
      <c r="H7">
        <v>6</v>
      </c>
      <c r="I7">
        <v>0</v>
      </c>
      <c r="J7">
        <v>6</v>
      </c>
      <c r="K7">
        <v>2</v>
      </c>
      <c r="L7">
        <v>180</v>
      </c>
      <c r="M7">
        <v>200</v>
      </c>
      <c r="N7">
        <v>280</v>
      </c>
      <c r="O7">
        <v>180</v>
      </c>
      <c r="P7">
        <v>280</v>
      </c>
      <c r="Q7">
        <v>73.680000000000007</v>
      </c>
      <c r="R7">
        <v>61.84</v>
      </c>
      <c r="U7">
        <f t="shared" si="0"/>
        <v>308</v>
      </c>
    </row>
    <row r="8" spans="1:23" x14ac:dyDescent="0.25">
      <c r="A8">
        <v>7</v>
      </c>
      <c r="B8" t="s">
        <v>18</v>
      </c>
      <c r="C8" t="s">
        <v>19</v>
      </c>
      <c r="D8">
        <v>7.8</v>
      </c>
      <c r="E8" t="s">
        <v>20</v>
      </c>
      <c r="F8" t="s">
        <v>21</v>
      </c>
      <c r="G8">
        <v>4</v>
      </c>
      <c r="H8">
        <v>5</v>
      </c>
      <c r="I8">
        <v>5</v>
      </c>
      <c r="J8">
        <v>5</v>
      </c>
      <c r="K8">
        <v>3</v>
      </c>
      <c r="L8">
        <v>170</v>
      </c>
      <c r="M8">
        <v>180</v>
      </c>
      <c r="N8">
        <v>220</v>
      </c>
      <c r="O8">
        <v>140</v>
      </c>
      <c r="P8">
        <v>200</v>
      </c>
      <c r="Q8">
        <v>80.95</v>
      </c>
      <c r="R8">
        <v>88.09</v>
      </c>
      <c r="U8">
        <f t="shared" si="0"/>
        <v>242</v>
      </c>
    </row>
    <row r="9" spans="1:23" x14ac:dyDescent="0.25">
      <c r="A9">
        <v>8</v>
      </c>
      <c r="B9" t="s">
        <v>18</v>
      </c>
      <c r="C9" t="s">
        <v>19</v>
      </c>
      <c r="D9">
        <v>8.2999999999999989</v>
      </c>
      <c r="E9" t="s">
        <v>20</v>
      </c>
      <c r="F9" t="s">
        <v>21</v>
      </c>
      <c r="G9">
        <v>6</v>
      </c>
      <c r="H9">
        <v>5</v>
      </c>
      <c r="I9">
        <v>1</v>
      </c>
      <c r="J9">
        <v>0</v>
      </c>
      <c r="K9">
        <v>0</v>
      </c>
      <c r="L9">
        <v>180</v>
      </c>
      <c r="M9">
        <v>200</v>
      </c>
      <c r="N9">
        <v>250</v>
      </c>
      <c r="O9">
        <v>250</v>
      </c>
      <c r="P9">
        <v>250</v>
      </c>
      <c r="Q9">
        <v>69.23</v>
      </c>
      <c r="R9">
        <v>91.34</v>
      </c>
      <c r="U9">
        <f t="shared" si="0"/>
        <v>275</v>
      </c>
    </row>
    <row r="10" spans="1:23" x14ac:dyDescent="0.25">
      <c r="A10">
        <v>9</v>
      </c>
      <c r="B10" t="s">
        <v>18</v>
      </c>
      <c r="C10" t="s">
        <v>23</v>
      </c>
      <c r="D10">
        <v>12.6</v>
      </c>
      <c r="E10" t="s">
        <v>20</v>
      </c>
      <c r="F10" t="s">
        <v>21</v>
      </c>
      <c r="G10">
        <v>6</v>
      </c>
      <c r="H10">
        <v>4</v>
      </c>
      <c r="I10">
        <v>0</v>
      </c>
      <c r="J10">
        <v>0</v>
      </c>
      <c r="K10">
        <v>0</v>
      </c>
      <c r="L10">
        <v>240</v>
      </c>
      <c r="M10">
        <v>320</v>
      </c>
      <c r="N10">
        <v>350</v>
      </c>
      <c r="O10">
        <v>330</v>
      </c>
      <c r="P10">
        <v>330</v>
      </c>
      <c r="Q10">
        <v>64.86</v>
      </c>
      <c r="R10">
        <v>89.86</v>
      </c>
      <c r="U10">
        <f t="shared" si="0"/>
        <v>385</v>
      </c>
    </row>
    <row r="11" spans="1:23" x14ac:dyDescent="0.25">
      <c r="A11">
        <v>10</v>
      </c>
      <c r="B11" t="s">
        <v>18</v>
      </c>
      <c r="C11" t="s">
        <v>23</v>
      </c>
      <c r="D11">
        <v>11.2</v>
      </c>
      <c r="E11" t="s">
        <v>20</v>
      </c>
      <c r="F11" t="s">
        <v>21</v>
      </c>
      <c r="G11">
        <v>6</v>
      </c>
      <c r="H11">
        <v>6</v>
      </c>
      <c r="I11">
        <v>3</v>
      </c>
      <c r="J11">
        <v>1</v>
      </c>
      <c r="K11">
        <v>0</v>
      </c>
      <c r="L11">
        <v>200</v>
      </c>
      <c r="M11">
        <v>200</v>
      </c>
      <c r="N11">
        <v>250</v>
      </c>
      <c r="O11">
        <v>320</v>
      </c>
      <c r="P11">
        <v>320</v>
      </c>
      <c r="Q11">
        <v>57.14</v>
      </c>
      <c r="R11">
        <v>77.849999999999994</v>
      </c>
      <c r="U11">
        <f t="shared" si="0"/>
        <v>275</v>
      </c>
    </row>
    <row r="12" spans="1:23" x14ac:dyDescent="0.25">
      <c r="A12">
        <v>11</v>
      </c>
      <c r="B12" t="s">
        <v>18</v>
      </c>
      <c r="C12" t="s">
        <v>19</v>
      </c>
      <c r="D12">
        <v>8.6999999999999993</v>
      </c>
      <c r="E12" t="s">
        <v>22</v>
      </c>
      <c r="F12" t="s">
        <v>21</v>
      </c>
      <c r="G12">
        <v>6</v>
      </c>
      <c r="H12">
        <v>5</v>
      </c>
      <c r="I12">
        <v>2</v>
      </c>
      <c r="J12">
        <v>2</v>
      </c>
      <c r="K12">
        <v>0</v>
      </c>
      <c r="L12">
        <v>140</v>
      </c>
      <c r="M12">
        <v>150</v>
      </c>
      <c r="N12">
        <v>180</v>
      </c>
      <c r="O12">
        <v>200</v>
      </c>
      <c r="P12">
        <v>230</v>
      </c>
      <c r="Q12">
        <v>58.53</v>
      </c>
      <c r="R12">
        <v>79.17</v>
      </c>
      <c r="U12">
        <f t="shared" si="0"/>
        <v>198</v>
      </c>
    </row>
    <row r="13" spans="1:23" x14ac:dyDescent="0.25">
      <c r="A13">
        <v>12</v>
      </c>
      <c r="B13" t="s">
        <v>18</v>
      </c>
      <c r="C13" t="s">
        <v>19</v>
      </c>
      <c r="D13">
        <v>8.6999999999999993</v>
      </c>
      <c r="E13" t="s">
        <v>22</v>
      </c>
      <c r="F13" t="s">
        <v>24</v>
      </c>
      <c r="G13">
        <v>4</v>
      </c>
      <c r="H13">
        <v>1</v>
      </c>
      <c r="I13">
        <v>4</v>
      </c>
      <c r="J13">
        <v>5</v>
      </c>
      <c r="K13">
        <v>4</v>
      </c>
      <c r="L13">
        <v>230</v>
      </c>
      <c r="M13">
        <v>250</v>
      </c>
      <c r="N13">
        <v>250</v>
      </c>
      <c r="O13">
        <v>250</v>
      </c>
      <c r="P13">
        <v>280</v>
      </c>
      <c r="Q13">
        <v>76.67</v>
      </c>
      <c r="R13">
        <v>85.83</v>
      </c>
      <c r="U13">
        <f t="shared" si="0"/>
        <v>275</v>
      </c>
    </row>
    <row r="14" spans="1:23" x14ac:dyDescent="0.25">
      <c r="A14">
        <v>13</v>
      </c>
      <c r="B14" t="s">
        <v>18</v>
      </c>
      <c r="C14" t="s">
        <v>19</v>
      </c>
      <c r="D14">
        <v>10.299999999999999</v>
      </c>
      <c r="E14" t="s">
        <v>22</v>
      </c>
      <c r="F14" t="s">
        <v>21</v>
      </c>
      <c r="G14">
        <v>5</v>
      </c>
      <c r="H14">
        <v>1</v>
      </c>
      <c r="I14">
        <v>0</v>
      </c>
      <c r="J14">
        <v>0</v>
      </c>
      <c r="K14">
        <v>0</v>
      </c>
      <c r="L14">
        <v>150</v>
      </c>
      <c r="M14">
        <v>260</v>
      </c>
      <c r="N14">
        <v>300</v>
      </c>
      <c r="O14">
        <v>300</v>
      </c>
      <c r="P14">
        <v>300</v>
      </c>
      <c r="Q14">
        <v>51.72</v>
      </c>
      <c r="R14">
        <v>100</v>
      </c>
      <c r="U14">
        <f t="shared" si="0"/>
        <v>330</v>
      </c>
    </row>
    <row r="15" spans="1:23" x14ac:dyDescent="0.25">
      <c r="A15">
        <v>14</v>
      </c>
      <c r="B15" t="s">
        <v>18</v>
      </c>
      <c r="C15" t="s">
        <v>19</v>
      </c>
      <c r="D15">
        <v>9.9</v>
      </c>
      <c r="E15" t="s">
        <v>20</v>
      </c>
      <c r="F15" t="s">
        <v>21</v>
      </c>
      <c r="G15">
        <v>6</v>
      </c>
      <c r="H15">
        <v>6</v>
      </c>
      <c r="I15">
        <v>6</v>
      </c>
      <c r="J15">
        <v>6</v>
      </c>
      <c r="K15">
        <v>4</v>
      </c>
      <c r="L15">
        <v>130</v>
      </c>
      <c r="M15">
        <v>130</v>
      </c>
      <c r="N15">
        <v>200</v>
      </c>
      <c r="O15">
        <v>170</v>
      </c>
      <c r="P15">
        <v>210</v>
      </c>
      <c r="Q15">
        <v>43.33</v>
      </c>
      <c r="R15">
        <v>73.239999999999995</v>
      </c>
      <c r="U15">
        <f t="shared" si="0"/>
        <v>220</v>
      </c>
    </row>
    <row r="16" spans="1:23" x14ac:dyDescent="0.25">
      <c r="A16">
        <v>15</v>
      </c>
      <c r="B16" t="s">
        <v>18</v>
      </c>
      <c r="C16" t="s">
        <v>19</v>
      </c>
      <c r="D16">
        <v>7.5</v>
      </c>
      <c r="E16" t="s">
        <v>20</v>
      </c>
      <c r="F16" t="s">
        <v>21</v>
      </c>
      <c r="G16">
        <v>5</v>
      </c>
      <c r="H16">
        <v>5</v>
      </c>
      <c r="I16">
        <v>3</v>
      </c>
      <c r="J16">
        <v>0</v>
      </c>
      <c r="K16">
        <v>0</v>
      </c>
      <c r="L16">
        <v>130</v>
      </c>
      <c r="M16">
        <v>150</v>
      </c>
      <c r="N16">
        <v>200</v>
      </c>
      <c r="O16">
        <v>220</v>
      </c>
      <c r="P16">
        <v>250</v>
      </c>
      <c r="Q16">
        <v>50</v>
      </c>
      <c r="R16">
        <v>78.84</v>
      </c>
      <c r="U16">
        <f t="shared" si="0"/>
        <v>220</v>
      </c>
    </row>
    <row r="17" spans="1:21" x14ac:dyDescent="0.25">
      <c r="A17">
        <v>16</v>
      </c>
      <c r="B17" t="s">
        <v>18</v>
      </c>
      <c r="C17" t="s">
        <v>23</v>
      </c>
      <c r="D17">
        <v>12.299999999999999</v>
      </c>
      <c r="E17" t="s">
        <v>20</v>
      </c>
      <c r="F17" t="s">
        <v>21</v>
      </c>
      <c r="G17">
        <v>6</v>
      </c>
      <c r="H17">
        <v>5</v>
      </c>
      <c r="I17">
        <v>5</v>
      </c>
      <c r="J17">
        <v>2</v>
      </c>
      <c r="K17">
        <v>0</v>
      </c>
      <c r="L17">
        <v>260</v>
      </c>
      <c r="M17">
        <v>300</v>
      </c>
      <c r="N17">
        <v>310</v>
      </c>
      <c r="O17">
        <v>310</v>
      </c>
      <c r="P17">
        <v>350</v>
      </c>
      <c r="Q17">
        <v>65</v>
      </c>
      <c r="R17">
        <v>74.37</v>
      </c>
      <c r="U17">
        <f t="shared" si="0"/>
        <v>341</v>
      </c>
    </row>
    <row r="18" spans="1:21" x14ac:dyDescent="0.25">
      <c r="A18">
        <v>17</v>
      </c>
      <c r="B18" t="s">
        <v>18</v>
      </c>
      <c r="C18" t="s">
        <v>19</v>
      </c>
      <c r="D18">
        <v>8.1</v>
      </c>
      <c r="E18" t="s">
        <v>20</v>
      </c>
      <c r="F18" t="s">
        <v>21</v>
      </c>
      <c r="G18">
        <v>6</v>
      </c>
      <c r="H18">
        <v>1</v>
      </c>
      <c r="I18">
        <v>5</v>
      </c>
      <c r="J18">
        <v>0</v>
      </c>
      <c r="K18">
        <v>0</v>
      </c>
      <c r="L18">
        <v>160</v>
      </c>
      <c r="M18">
        <v>220</v>
      </c>
      <c r="N18">
        <v>180</v>
      </c>
      <c r="O18">
        <v>220</v>
      </c>
      <c r="P18">
        <v>220</v>
      </c>
      <c r="Q18">
        <v>69.56</v>
      </c>
      <c r="R18">
        <v>91.3</v>
      </c>
      <c r="U18">
        <f t="shared" si="0"/>
        <v>198</v>
      </c>
    </row>
    <row r="19" spans="1:21" x14ac:dyDescent="0.25">
      <c r="A19">
        <v>18</v>
      </c>
      <c r="B19" t="s">
        <v>18</v>
      </c>
      <c r="C19" t="s">
        <v>19</v>
      </c>
      <c r="D19">
        <v>7.3</v>
      </c>
      <c r="E19" t="s">
        <v>22</v>
      </c>
      <c r="F19" t="s">
        <v>21</v>
      </c>
      <c r="G19">
        <v>6</v>
      </c>
      <c r="H19">
        <v>1</v>
      </c>
      <c r="I19">
        <v>4</v>
      </c>
      <c r="J19">
        <v>4</v>
      </c>
      <c r="K19">
        <v>0</v>
      </c>
      <c r="L19">
        <v>150</v>
      </c>
      <c r="M19">
        <v>230</v>
      </c>
      <c r="N19">
        <v>200</v>
      </c>
      <c r="O19">
        <v>200</v>
      </c>
      <c r="P19">
        <v>230</v>
      </c>
      <c r="Q19">
        <v>65.209999999999994</v>
      </c>
      <c r="R19">
        <v>93.47</v>
      </c>
      <c r="U19">
        <f t="shared" si="0"/>
        <v>220</v>
      </c>
    </row>
    <row r="20" spans="1:21" x14ac:dyDescent="0.25">
      <c r="A20">
        <v>19</v>
      </c>
      <c r="B20" t="s">
        <v>18</v>
      </c>
      <c r="C20" t="s">
        <v>19</v>
      </c>
      <c r="D20">
        <v>9.6</v>
      </c>
      <c r="E20" t="s">
        <v>22</v>
      </c>
      <c r="F20" t="s">
        <v>21</v>
      </c>
      <c r="G20">
        <v>5</v>
      </c>
      <c r="H20">
        <v>1</v>
      </c>
      <c r="I20">
        <v>0</v>
      </c>
      <c r="J20">
        <v>6</v>
      </c>
      <c r="K20">
        <v>0</v>
      </c>
      <c r="L20">
        <v>200</v>
      </c>
      <c r="M20">
        <v>250</v>
      </c>
      <c r="N20">
        <v>270</v>
      </c>
      <c r="O20">
        <v>180</v>
      </c>
      <c r="P20">
        <v>240</v>
      </c>
      <c r="Q20">
        <v>72.72</v>
      </c>
      <c r="R20">
        <v>85.45</v>
      </c>
      <c r="U20">
        <f t="shared" si="0"/>
        <v>297</v>
      </c>
    </row>
    <row r="21" spans="1:21" x14ac:dyDescent="0.25">
      <c r="A21">
        <v>20</v>
      </c>
      <c r="B21" t="s">
        <v>18</v>
      </c>
      <c r="C21" t="s">
        <v>19</v>
      </c>
      <c r="D21">
        <v>9.6999999999999993</v>
      </c>
      <c r="E21" t="s">
        <v>22</v>
      </c>
      <c r="F21" t="s">
        <v>24</v>
      </c>
      <c r="G21">
        <v>6</v>
      </c>
      <c r="H21">
        <v>3</v>
      </c>
      <c r="I21">
        <v>6</v>
      </c>
      <c r="J21">
        <v>3</v>
      </c>
      <c r="K21">
        <v>2</v>
      </c>
      <c r="L21">
        <v>120</v>
      </c>
      <c r="M21">
        <v>220</v>
      </c>
      <c r="N21">
        <v>200</v>
      </c>
      <c r="O21">
        <v>220</v>
      </c>
      <c r="P21">
        <v>250</v>
      </c>
      <c r="Q21">
        <v>40</v>
      </c>
      <c r="R21">
        <v>74.17</v>
      </c>
      <c r="U21">
        <f t="shared" si="0"/>
        <v>220</v>
      </c>
    </row>
    <row r="22" spans="1:21" x14ac:dyDescent="0.25">
      <c r="A22">
        <v>21</v>
      </c>
      <c r="B22" t="s">
        <v>18</v>
      </c>
      <c r="C22" t="s">
        <v>19</v>
      </c>
      <c r="D22">
        <v>7.6999999999999993</v>
      </c>
      <c r="E22" t="s">
        <v>20</v>
      </c>
      <c r="F22" t="s">
        <v>24</v>
      </c>
      <c r="G22">
        <v>6</v>
      </c>
      <c r="H22">
        <v>6</v>
      </c>
      <c r="I22">
        <v>3</v>
      </c>
      <c r="J22">
        <v>2</v>
      </c>
      <c r="K22">
        <v>0</v>
      </c>
      <c r="L22">
        <v>120</v>
      </c>
      <c r="M22">
        <v>110</v>
      </c>
      <c r="N22">
        <v>200</v>
      </c>
      <c r="O22">
        <v>220</v>
      </c>
      <c r="P22">
        <v>220</v>
      </c>
      <c r="Q22">
        <v>50</v>
      </c>
      <c r="R22">
        <v>78.12</v>
      </c>
      <c r="U22">
        <f t="shared" si="0"/>
        <v>220</v>
      </c>
    </row>
    <row r="23" spans="1:21" x14ac:dyDescent="0.25">
      <c r="A23">
        <v>22</v>
      </c>
      <c r="B23" t="s">
        <v>18</v>
      </c>
      <c r="C23" t="s">
        <v>19</v>
      </c>
      <c r="D23">
        <v>9.1</v>
      </c>
      <c r="E23" t="s">
        <v>20</v>
      </c>
      <c r="F23" t="s">
        <v>21</v>
      </c>
      <c r="G23">
        <v>5</v>
      </c>
      <c r="H23">
        <v>6</v>
      </c>
      <c r="I23">
        <v>1</v>
      </c>
      <c r="J23">
        <v>0</v>
      </c>
      <c r="K23">
        <v>5</v>
      </c>
      <c r="L23">
        <v>190</v>
      </c>
      <c r="M23">
        <v>230</v>
      </c>
      <c r="N23">
        <v>250</v>
      </c>
      <c r="O23">
        <v>250</v>
      </c>
      <c r="P23">
        <v>200</v>
      </c>
      <c r="Q23">
        <v>63.33</v>
      </c>
      <c r="R23">
        <v>77.5</v>
      </c>
      <c r="U23">
        <f t="shared" si="0"/>
        <v>275</v>
      </c>
    </row>
    <row r="24" spans="1:21" x14ac:dyDescent="0.25">
      <c r="A24">
        <v>23</v>
      </c>
      <c r="B24" t="s">
        <v>18</v>
      </c>
      <c r="C24" t="s">
        <v>19</v>
      </c>
      <c r="D24">
        <v>8.5</v>
      </c>
      <c r="E24" t="s">
        <v>22</v>
      </c>
      <c r="F24" t="s">
        <v>24</v>
      </c>
      <c r="G24">
        <v>6</v>
      </c>
      <c r="H24">
        <v>5</v>
      </c>
      <c r="I24">
        <v>4</v>
      </c>
      <c r="J24">
        <v>4</v>
      </c>
      <c r="K24">
        <v>0</v>
      </c>
      <c r="L24">
        <v>150</v>
      </c>
      <c r="M24">
        <v>180</v>
      </c>
      <c r="N24">
        <v>200</v>
      </c>
      <c r="O24">
        <v>210</v>
      </c>
      <c r="P24">
        <v>210</v>
      </c>
      <c r="Q24">
        <v>60</v>
      </c>
      <c r="R24">
        <v>80</v>
      </c>
      <c r="U24">
        <f t="shared" si="0"/>
        <v>220</v>
      </c>
    </row>
    <row r="25" spans="1:21" x14ac:dyDescent="0.25">
      <c r="A25">
        <v>24</v>
      </c>
      <c r="B25" t="s">
        <v>18</v>
      </c>
      <c r="C25" t="s">
        <v>19</v>
      </c>
      <c r="D25">
        <v>9</v>
      </c>
      <c r="E25" t="s">
        <v>22</v>
      </c>
      <c r="F25" t="s">
        <v>24</v>
      </c>
      <c r="G25">
        <v>6</v>
      </c>
      <c r="H25">
        <v>1</v>
      </c>
      <c r="I25">
        <v>4</v>
      </c>
      <c r="J25">
        <v>4</v>
      </c>
      <c r="K25">
        <v>0</v>
      </c>
      <c r="L25">
        <v>200</v>
      </c>
      <c r="M25">
        <v>210</v>
      </c>
      <c r="N25">
        <v>200</v>
      </c>
      <c r="O25">
        <v>200</v>
      </c>
      <c r="P25">
        <v>220</v>
      </c>
      <c r="Q25">
        <v>62.5</v>
      </c>
      <c r="R25">
        <v>64.84</v>
      </c>
      <c r="U25">
        <f t="shared" si="0"/>
        <v>220</v>
      </c>
    </row>
    <row r="26" spans="1:21" x14ac:dyDescent="0.25">
      <c r="A26">
        <v>25</v>
      </c>
      <c r="B26" t="s">
        <v>18</v>
      </c>
      <c r="C26" t="s">
        <v>19</v>
      </c>
      <c r="D26">
        <v>9.9</v>
      </c>
      <c r="E26" t="s">
        <v>20</v>
      </c>
      <c r="F26" t="s">
        <v>24</v>
      </c>
      <c r="G26">
        <v>6</v>
      </c>
      <c r="H26">
        <v>6</v>
      </c>
      <c r="I26">
        <v>4</v>
      </c>
      <c r="J26">
        <v>2</v>
      </c>
      <c r="K26">
        <v>1</v>
      </c>
      <c r="L26">
        <v>120</v>
      </c>
      <c r="M26">
        <v>140</v>
      </c>
      <c r="N26">
        <v>180</v>
      </c>
      <c r="O26">
        <v>200</v>
      </c>
      <c r="P26">
        <v>200</v>
      </c>
      <c r="Q26">
        <v>50</v>
      </c>
      <c r="R26">
        <v>75</v>
      </c>
      <c r="U26">
        <f t="shared" si="0"/>
        <v>198</v>
      </c>
    </row>
    <row r="27" spans="1:21" x14ac:dyDescent="0.25">
      <c r="A27">
        <v>26</v>
      </c>
      <c r="B27" t="s">
        <v>18</v>
      </c>
      <c r="C27" t="s">
        <v>19</v>
      </c>
      <c r="D27">
        <v>10</v>
      </c>
      <c r="E27" t="s">
        <v>20</v>
      </c>
      <c r="F27" t="s">
        <v>24</v>
      </c>
      <c r="G27">
        <v>5</v>
      </c>
      <c r="H27">
        <v>2</v>
      </c>
      <c r="I27">
        <v>4</v>
      </c>
      <c r="J27">
        <v>0</v>
      </c>
      <c r="K27">
        <v>0</v>
      </c>
      <c r="L27">
        <v>110</v>
      </c>
      <c r="M27">
        <v>250</v>
      </c>
      <c r="N27">
        <v>220</v>
      </c>
      <c r="O27">
        <v>280</v>
      </c>
      <c r="P27">
        <v>300</v>
      </c>
      <c r="Q27">
        <v>34.380000000000003</v>
      </c>
      <c r="R27">
        <v>82.03</v>
      </c>
      <c r="U27">
        <f t="shared" si="0"/>
        <v>242</v>
      </c>
    </row>
    <row r="28" spans="1:21" x14ac:dyDescent="0.25">
      <c r="A28">
        <v>27</v>
      </c>
      <c r="B28" t="s">
        <v>18</v>
      </c>
      <c r="C28" t="s">
        <v>19</v>
      </c>
      <c r="D28">
        <v>8.4</v>
      </c>
      <c r="E28" t="s">
        <v>20</v>
      </c>
      <c r="F28" t="s">
        <v>24</v>
      </c>
      <c r="G28">
        <v>4</v>
      </c>
      <c r="H28">
        <v>1</v>
      </c>
      <c r="I28">
        <v>4</v>
      </c>
      <c r="J28">
        <v>0</v>
      </c>
      <c r="K28">
        <v>0</v>
      </c>
      <c r="L28">
        <v>150</v>
      </c>
      <c r="M28">
        <v>220</v>
      </c>
      <c r="N28">
        <v>160</v>
      </c>
      <c r="O28">
        <v>250</v>
      </c>
      <c r="P28">
        <v>250</v>
      </c>
      <c r="Q28">
        <v>55.55</v>
      </c>
      <c r="R28">
        <v>81.48</v>
      </c>
      <c r="U28">
        <f t="shared" si="0"/>
        <v>176</v>
      </c>
    </row>
    <row r="29" spans="1:21" x14ac:dyDescent="0.25">
      <c r="A29">
        <v>28</v>
      </c>
      <c r="B29" t="s">
        <v>18</v>
      </c>
      <c r="C29" t="s">
        <v>19</v>
      </c>
      <c r="D29">
        <v>7.5</v>
      </c>
      <c r="E29" t="s">
        <v>22</v>
      </c>
      <c r="F29" t="s">
        <v>21</v>
      </c>
      <c r="G29">
        <v>4</v>
      </c>
      <c r="H29">
        <v>3</v>
      </c>
      <c r="I29">
        <v>1</v>
      </c>
      <c r="J29">
        <v>0</v>
      </c>
      <c r="K29">
        <v>0</v>
      </c>
      <c r="L29">
        <v>160</v>
      </c>
      <c r="M29">
        <v>180</v>
      </c>
      <c r="N29">
        <v>180</v>
      </c>
      <c r="O29">
        <v>200</v>
      </c>
      <c r="P29">
        <v>220</v>
      </c>
      <c r="Q29">
        <v>57.14</v>
      </c>
      <c r="R29">
        <v>69.64</v>
      </c>
      <c r="U29">
        <f t="shared" si="0"/>
        <v>198</v>
      </c>
    </row>
    <row r="30" spans="1:21" x14ac:dyDescent="0.25">
      <c r="A30">
        <v>29</v>
      </c>
      <c r="B30" t="s">
        <v>18</v>
      </c>
      <c r="C30" t="s">
        <v>19</v>
      </c>
      <c r="D30">
        <v>9.6999999999999993</v>
      </c>
      <c r="E30" t="s">
        <v>22</v>
      </c>
      <c r="F30" t="s">
        <v>21</v>
      </c>
      <c r="G30">
        <v>5</v>
      </c>
      <c r="H30">
        <v>6</v>
      </c>
      <c r="I30">
        <v>6</v>
      </c>
      <c r="J30">
        <v>4</v>
      </c>
      <c r="K30">
        <v>4</v>
      </c>
      <c r="L30">
        <v>150</v>
      </c>
      <c r="M30">
        <v>150</v>
      </c>
      <c r="N30">
        <v>150</v>
      </c>
      <c r="O30">
        <v>200</v>
      </c>
      <c r="P30">
        <v>200</v>
      </c>
      <c r="Q30">
        <v>55.55</v>
      </c>
      <c r="R30">
        <v>64.819999999999993</v>
      </c>
      <c r="U30">
        <f t="shared" si="0"/>
        <v>165</v>
      </c>
    </row>
    <row r="31" spans="1:21" x14ac:dyDescent="0.25">
      <c r="A31">
        <v>30</v>
      </c>
      <c r="B31" t="s">
        <v>18</v>
      </c>
      <c r="C31" t="s">
        <v>23</v>
      </c>
      <c r="D31">
        <v>13.4</v>
      </c>
      <c r="E31" t="s">
        <v>22</v>
      </c>
      <c r="F31" t="s">
        <v>21</v>
      </c>
      <c r="G31">
        <v>6</v>
      </c>
      <c r="H31">
        <v>4</v>
      </c>
      <c r="I31">
        <v>0</v>
      </c>
      <c r="J31">
        <v>5</v>
      </c>
      <c r="K31">
        <v>0</v>
      </c>
      <c r="L31">
        <v>200</v>
      </c>
      <c r="M31">
        <v>308</v>
      </c>
      <c r="N31">
        <v>320</v>
      </c>
      <c r="O31">
        <v>300</v>
      </c>
      <c r="P31">
        <v>400</v>
      </c>
      <c r="Q31">
        <v>52.63</v>
      </c>
      <c r="R31">
        <v>87.37</v>
      </c>
      <c r="U31">
        <f t="shared" si="0"/>
        <v>352</v>
      </c>
    </row>
    <row r="32" spans="1:21" x14ac:dyDescent="0.25">
      <c r="A32">
        <v>31</v>
      </c>
      <c r="B32" t="s">
        <v>18</v>
      </c>
      <c r="C32" t="s">
        <v>19</v>
      </c>
      <c r="D32">
        <v>7.1999999999999993</v>
      </c>
      <c r="E32" t="s">
        <v>20</v>
      </c>
      <c r="F32" t="s">
        <v>24</v>
      </c>
      <c r="G32">
        <v>6</v>
      </c>
      <c r="H32">
        <v>5</v>
      </c>
      <c r="I32">
        <v>0</v>
      </c>
      <c r="J32">
        <v>0</v>
      </c>
      <c r="K32">
        <v>0</v>
      </c>
      <c r="L32">
        <v>150</v>
      </c>
      <c r="M32">
        <v>160</v>
      </c>
      <c r="N32">
        <v>190</v>
      </c>
      <c r="O32">
        <v>200</v>
      </c>
      <c r="P32">
        <v>220</v>
      </c>
      <c r="Q32">
        <v>57.69</v>
      </c>
      <c r="R32">
        <v>74.03</v>
      </c>
      <c r="U32">
        <f t="shared" si="0"/>
        <v>209</v>
      </c>
    </row>
    <row r="33" spans="1:21" x14ac:dyDescent="0.25">
      <c r="A33">
        <v>32</v>
      </c>
      <c r="B33" t="s">
        <v>18</v>
      </c>
      <c r="C33" t="s">
        <v>23</v>
      </c>
      <c r="D33">
        <v>12.6</v>
      </c>
      <c r="E33" t="s">
        <v>22</v>
      </c>
      <c r="F33" t="s">
        <v>24</v>
      </c>
      <c r="G33">
        <v>5</v>
      </c>
      <c r="H33">
        <v>6</v>
      </c>
      <c r="I33">
        <v>3</v>
      </c>
      <c r="J33">
        <v>1</v>
      </c>
      <c r="K33">
        <v>0</v>
      </c>
      <c r="L33">
        <v>200</v>
      </c>
      <c r="M33">
        <v>180</v>
      </c>
      <c r="N33">
        <v>220</v>
      </c>
      <c r="O33">
        <v>250</v>
      </c>
      <c r="P33">
        <v>300</v>
      </c>
      <c r="Q33">
        <v>68.97</v>
      </c>
      <c r="R33">
        <v>81.900000000000006</v>
      </c>
      <c r="U33">
        <f t="shared" si="0"/>
        <v>242</v>
      </c>
    </row>
    <row r="34" spans="1:21" x14ac:dyDescent="0.25">
      <c r="A34">
        <v>33</v>
      </c>
      <c r="B34" t="s">
        <v>18</v>
      </c>
      <c r="C34" t="s">
        <v>19</v>
      </c>
      <c r="D34">
        <v>7.8</v>
      </c>
      <c r="E34" t="s">
        <v>20</v>
      </c>
      <c r="F34" t="s">
        <v>21</v>
      </c>
      <c r="G34">
        <v>6</v>
      </c>
      <c r="H34">
        <v>6</v>
      </c>
      <c r="I34">
        <v>4</v>
      </c>
      <c r="J34">
        <v>2</v>
      </c>
      <c r="K34">
        <v>0</v>
      </c>
      <c r="L34">
        <v>130</v>
      </c>
      <c r="M34">
        <v>150</v>
      </c>
      <c r="N34">
        <v>200</v>
      </c>
      <c r="O34">
        <v>220</v>
      </c>
      <c r="P34">
        <v>250</v>
      </c>
      <c r="Q34">
        <v>50</v>
      </c>
      <c r="R34">
        <v>78.849999999999994</v>
      </c>
      <c r="U34">
        <f t="shared" si="0"/>
        <v>220</v>
      </c>
    </row>
    <row r="35" spans="1:21" x14ac:dyDescent="0.25">
      <c r="A35">
        <v>34</v>
      </c>
      <c r="B35" t="s">
        <v>18</v>
      </c>
      <c r="C35" t="s">
        <v>23</v>
      </c>
      <c r="D35">
        <v>13</v>
      </c>
      <c r="E35" t="s">
        <v>22</v>
      </c>
      <c r="F35" t="s">
        <v>24</v>
      </c>
      <c r="G35">
        <v>4</v>
      </c>
      <c r="H35">
        <v>6</v>
      </c>
      <c r="I35">
        <v>5</v>
      </c>
      <c r="J35">
        <v>1</v>
      </c>
      <c r="K35">
        <v>0</v>
      </c>
      <c r="L35">
        <v>220</v>
      </c>
      <c r="M35">
        <v>220</v>
      </c>
      <c r="N35">
        <v>280</v>
      </c>
      <c r="O35">
        <v>300</v>
      </c>
      <c r="P35">
        <v>350</v>
      </c>
      <c r="Q35">
        <v>62.86</v>
      </c>
      <c r="R35">
        <v>82.14</v>
      </c>
      <c r="U35">
        <f t="shared" si="0"/>
        <v>308</v>
      </c>
    </row>
    <row r="36" spans="1:21" x14ac:dyDescent="0.25">
      <c r="A36">
        <v>35</v>
      </c>
      <c r="B36" t="s">
        <v>18</v>
      </c>
      <c r="C36" t="s">
        <v>23</v>
      </c>
      <c r="D36">
        <v>12.7</v>
      </c>
      <c r="E36" t="s">
        <v>22</v>
      </c>
      <c r="F36" t="s">
        <v>21</v>
      </c>
      <c r="G36">
        <v>4</v>
      </c>
      <c r="H36">
        <v>6</v>
      </c>
      <c r="I36">
        <v>0</v>
      </c>
      <c r="J36">
        <v>0</v>
      </c>
      <c r="K36">
        <v>0</v>
      </c>
      <c r="L36">
        <v>200</v>
      </c>
      <c r="M36">
        <v>200</v>
      </c>
      <c r="N36">
        <v>320</v>
      </c>
      <c r="O36">
        <v>340</v>
      </c>
      <c r="P36">
        <v>340</v>
      </c>
      <c r="Q36">
        <v>88.89</v>
      </c>
      <c r="R36">
        <v>83.33</v>
      </c>
      <c r="U36">
        <f t="shared" si="0"/>
        <v>352</v>
      </c>
    </row>
    <row r="37" spans="1:21" x14ac:dyDescent="0.25">
      <c r="A37">
        <v>36</v>
      </c>
      <c r="B37" t="s">
        <v>18</v>
      </c>
      <c r="C37" t="s">
        <v>19</v>
      </c>
      <c r="D37">
        <v>10.6</v>
      </c>
      <c r="E37" t="s">
        <v>22</v>
      </c>
      <c r="F37" t="s">
        <v>21</v>
      </c>
      <c r="G37">
        <v>3</v>
      </c>
      <c r="H37">
        <v>6</v>
      </c>
      <c r="I37">
        <v>0</v>
      </c>
      <c r="J37">
        <v>0</v>
      </c>
      <c r="K37">
        <v>0</v>
      </c>
      <c r="L37">
        <v>200</v>
      </c>
      <c r="M37">
        <v>180</v>
      </c>
      <c r="N37">
        <v>300</v>
      </c>
      <c r="O37">
        <v>290</v>
      </c>
      <c r="P37">
        <v>300</v>
      </c>
      <c r="Q37">
        <v>84.85</v>
      </c>
      <c r="R37">
        <v>81.06</v>
      </c>
      <c r="U37">
        <f t="shared" si="0"/>
        <v>330</v>
      </c>
    </row>
    <row r="38" spans="1:21" x14ac:dyDescent="0.25">
      <c r="A38">
        <v>37</v>
      </c>
      <c r="B38" t="s">
        <v>18</v>
      </c>
      <c r="C38" t="s">
        <v>19</v>
      </c>
      <c r="D38">
        <v>7.3999999999999995</v>
      </c>
      <c r="E38" t="s">
        <v>20</v>
      </c>
      <c r="F38" t="s">
        <v>24</v>
      </c>
      <c r="G38">
        <v>6</v>
      </c>
      <c r="H38">
        <v>6</v>
      </c>
      <c r="I38">
        <v>6</v>
      </c>
      <c r="J38">
        <v>3</v>
      </c>
      <c r="K38">
        <v>2</v>
      </c>
      <c r="L38">
        <v>150</v>
      </c>
      <c r="M38">
        <v>150</v>
      </c>
      <c r="N38">
        <v>150</v>
      </c>
      <c r="O38">
        <v>200</v>
      </c>
      <c r="P38">
        <v>180</v>
      </c>
      <c r="Q38">
        <v>71.430000000000007</v>
      </c>
      <c r="R38">
        <v>80.95</v>
      </c>
      <c r="U38">
        <f t="shared" si="0"/>
        <v>165</v>
      </c>
    </row>
    <row r="39" spans="1:21" x14ac:dyDescent="0.25">
      <c r="A39">
        <v>38</v>
      </c>
      <c r="B39" t="s">
        <v>18</v>
      </c>
      <c r="C39" t="s">
        <v>19</v>
      </c>
      <c r="D39">
        <v>7.5</v>
      </c>
      <c r="E39" t="s">
        <v>20</v>
      </c>
      <c r="F39" t="s">
        <v>21</v>
      </c>
      <c r="G39">
        <v>5</v>
      </c>
      <c r="H39">
        <v>5</v>
      </c>
      <c r="I39">
        <v>3</v>
      </c>
      <c r="J39">
        <v>0</v>
      </c>
      <c r="K39">
        <v>0</v>
      </c>
      <c r="L39">
        <v>150</v>
      </c>
      <c r="M39">
        <v>150</v>
      </c>
      <c r="N39">
        <v>150</v>
      </c>
      <c r="O39">
        <v>200</v>
      </c>
      <c r="P39">
        <v>200</v>
      </c>
      <c r="Q39">
        <v>71.430000000000007</v>
      </c>
      <c r="R39">
        <v>83.33</v>
      </c>
      <c r="U39">
        <f t="shared" si="0"/>
        <v>165</v>
      </c>
    </row>
    <row r="40" spans="1:21" x14ac:dyDescent="0.25">
      <c r="A40">
        <v>39</v>
      </c>
      <c r="B40" t="s">
        <v>18</v>
      </c>
      <c r="C40" t="s">
        <v>23</v>
      </c>
      <c r="D40">
        <v>13.299999999999999</v>
      </c>
      <c r="E40" t="s">
        <v>20</v>
      </c>
      <c r="F40" t="s">
        <v>24</v>
      </c>
      <c r="G40">
        <v>6</v>
      </c>
      <c r="H40">
        <v>6</v>
      </c>
      <c r="I40">
        <v>5</v>
      </c>
      <c r="J40">
        <v>2</v>
      </c>
      <c r="K40">
        <v>0</v>
      </c>
      <c r="L40">
        <v>250</v>
      </c>
      <c r="M40">
        <v>250</v>
      </c>
      <c r="N40">
        <v>300</v>
      </c>
      <c r="O40">
        <v>350</v>
      </c>
      <c r="P40">
        <v>400</v>
      </c>
      <c r="Q40">
        <v>55.56</v>
      </c>
      <c r="R40">
        <v>72.22</v>
      </c>
      <c r="U40">
        <f t="shared" si="0"/>
        <v>330</v>
      </c>
    </row>
    <row r="41" spans="1:21" x14ac:dyDescent="0.25">
      <c r="A41">
        <v>40</v>
      </c>
      <c r="B41" t="s">
        <v>18</v>
      </c>
      <c r="C41" t="s">
        <v>23</v>
      </c>
      <c r="D41">
        <v>11</v>
      </c>
      <c r="E41" t="s">
        <v>22</v>
      </c>
      <c r="F41" t="s">
        <v>21</v>
      </c>
      <c r="G41">
        <v>3</v>
      </c>
      <c r="H41">
        <v>3</v>
      </c>
      <c r="I41">
        <v>1</v>
      </c>
      <c r="J41">
        <v>1</v>
      </c>
      <c r="K41">
        <v>0</v>
      </c>
      <c r="L41">
        <v>270</v>
      </c>
      <c r="M41">
        <v>300</v>
      </c>
      <c r="N41">
        <v>300</v>
      </c>
      <c r="O41">
        <v>320</v>
      </c>
      <c r="P41">
        <v>350</v>
      </c>
      <c r="Q41">
        <v>72.97</v>
      </c>
      <c r="R41">
        <v>85.81</v>
      </c>
      <c r="U41">
        <f t="shared" si="0"/>
        <v>330</v>
      </c>
    </row>
    <row r="42" spans="1:21" x14ac:dyDescent="0.25">
      <c r="A42">
        <v>41</v>
      </c>
      <c r="B42" t="s">
        <v>18</v>
      </c>
      <c r="C42" t="s">
        <v>19</v>
      </c>
      <c r="D42">
        <v>10.1</v>
      </c>
      <c r="E42" t="s">
        <v>20</v>
      </c>
      <c r="F42" t="s">
        <v>24</v>
      </c>
      <c r="G42">
        <v>6</v>
      </c>
      <c r="H42">
        <v>5</v>
      </c>
      <c r="I42">
        <v>4</v>
      </c>
      <c r="J42">
        <v>3</v>
      </c>
      <c r="K42">
        <v>1</v>
      </c>
      <c r="L42">
        <v>180</v>
      </c>
      <c r="M42">
        <v>230</v>
      </c>
      <c r="N42">
        <v>250</v>
      </c>
      <c r="O42">
        <v>300</v>
      </c>
      <c r="P42">
        <v>350</v>
      </c>
      <c r="Q42">
        <v>46.86</v>
      </c>
      <c r="R42">
        <v>88.28</v>
      </c>
      <c r="U42">
        <f t="shared" si="0"/>
        <v>275</v>
      </c>
    </row>
    <row r="43" spans="1:21" x14ac:dyDescent="0.25">
      <c r="A43">
        <v>42</v>
      </c>
      <c r="B43" t="s">
        <v>25</v>
      </c>
      <c r="C43" t="s">
        <v>23</v>
      </c>
      <c r="D43">
        <v>11.6</v>
      </c>
      <c r="E43" t="s">
        <v>20</v>
      </c>
      <c r="F43" t="s">
        <v>21</v>
      </c>
      <c r="G43">
        <v>5</v>
      </c>
      <c r="H43">
        <v>5</v>
      </c>
      <c r="I43">
        <v>5</v>
      </c>
      <c r="J43">
        <v>5</v>
      </c>
      <c r="K43">
        <v>5</v>
      </c>
      <c r="L43">
        <v>260</v>
      </c>
      <c r="M43">
        <v>250</v>
      </c>
      <c r="N43">
        <v>250</v>
      </c>
      <c r="O43">
        <v>260</v>
      </c>
      <c r="P43">
        <v>250</v>
      </c>
      <c r="Q43">
        <v>81.25</v>
      </c>
      <c r="R43">
        <v>78.91</v>
      </c>
      <c r="U43">
        <f t="shared" si="0"/>
        <v>275</v>
      </c>
    </row>
    <row r="44" spans="1:21" x14ac:dyDescent="0.25">
      <c r="A44">
        <v>43</v>
      </c>
      <c r="B44" t="s">
        <v>25</v>
      </c>
      <c r="C44" t="s">
        <v>23</v>
      </c>
      <c r="D44">
        <v>13</v>
      </c>
      <c r="E44" t="s">
        <v>22</v>
      </c>
      <c r="F44" t="s">
        <v>21</v>
      </c>
      <c r="G44">
        <v>6</v>
      </c>
      <c r="H44">
        <v>6</v>
      </c>
      <c r="I44">
        <v>6</v>
      </c>
      <c r="J44">
        <v>6</v>
      </c>
      <c r="K44">
        <v>3</v>
      </c>
      <c r="L44">
        <v>250</v>
      </c>
      <c r="M44">
        <v>220</v>
      </c>
      <c r="N44">
        <v>220</v>
      </c>
      <c r="O44">
        <v>240</v>
      </c>
      <c r="P44">
        <v>290</v>
      </c>
      <c r="Q44">
        <v>62.5</v>
      </c>
      <c r="R44">
        <v>60.62</v>
      </c>
      <c r="U44">
        <f t="shared" si="0"/>
        <v>242</v>
      </c>
    </row>
    <row r="45" spans="1:21" x14ac:dyDescent="0.25">
      <c r="A45">
        <v>44</v>
      </c>
      <c r="B45" t="s">
        <v>25</v>
      </c>
      <c r="C45" t="s">
        <v>19</v>
      </c>
      <c r="D45">
        <v>7.8999999999999995</v>
      </c>
      <c r="E45" t="s">
        <v>22</v>
      </c>
      <c r="F45" t="s">
        <v>21</v>
      </c>
      <c r="G45">
        <v>6</v>
      </c>
      <c r="H45">
        <v>5</v>
      </c>
      <c r="I45">
        <v>5</v>
      </c>
      <c r="J45">
        <v>5</v>
      </c>
      <c r="K45">
        <v>5</v>
      </c>
      <c r="L45">
        <v>140</v>
      </c>
      <c r="M45">
        <v>150</v>
      </c>
      <c r="N45">
        <v>160</v>
      </c>
      <c r="O45">
        <v>180</v>
      </c>
      <c r="P45">
        <v>160</v>
      </c>
      <c r="Q45">
        <v>66.67</v>
      </c>
      <c r="R45">
        <v>77.38</v>
      </c>
      <c r="U45">
        <f t="shared" si="0"/>
        <v>176</v>
      </c>
    </row>
    <row r="46" spans="1:21" x14ac:dyDescent="0.25">
      <c r="A46">
        <v>45</v>
      </c>
      <c r="B46" t="s">
        <v>25</v>
      </c>
      <c r="C46" t="s">
        <v>19</v>
      </c>
      <c r="D46">
        <v>7.8999999999999995</v>
      </c>
      <c r="E46" t="s">
        <v>22</v>
      </c>
      <c r="F46" t="s">
        <v>21</v>
      </c>
      <c r="G46">
        <v>6</v>
      </c>
      <c r="H46">
        <v>5</v>
      </c>
      <c r="I46">
        <v>5</v>
      </c>
      <c r="J46">
        <v>5</v>
      </c>
      <c r="K46">
        <v>5</v>
      </c>
      <c r="L46">
        <v>140</v>
      </c>
      <c r="M46">
        <v>150</v>
      </c>
      <c r="N46">
        <v>160</v>
      </c>
      <c r="O46">
        <v>180</v>
      </c>
      <c r="P46">
        <v>160</v>
      </c>
      <c r="Q46">
        <v>66.67</v>
      </c>
      <c r="R46">
        <v>77.38</v>
      </c>
      <c r="U46">
        <f t="shared" si="0"/>
        <v>176</v>
      </c>
    </row>
    <row r="47" spans="1:21" x14ac:dyDescent="0.25">
      <c r="A47">
        <v>46</v>
      </c>
      <c r="B47" t="s">
        <v>25</v>
      </c>
      <c r="C47" t="s">
        <v>23</v>
      </c>
      <c r="D47">
        <v>12.4</v>
      </c>
      <c r="E47" t="s">
        <v>20</v>
      </c>
      <c r="F47" t="s">
        <v>21</v>
      </c>
      <c r="G47">
        <v>6</v>
      </c>
      <c r="H47">
        <v>6</v>
      </c>
      <c r="I47">
        <v>6</v>
      </c>
      <c r="J47">
        <v>6</v>
      </c>
      <c r="K47">
        <v>5</v>
      </c>
      <c r="L47">
        <v>200</v>
      </c>
      <c r="M47">
        <v>200</v>
      </c>
      <c r="N47">
        <v>220</v>
      </c>
      <c r="O47">
        <v>240</v>
      </c>
      <c r="P47">
        <v>250</v>
      </c>
      <c r="Q47">
        <v>57.14</v>
      </c>
      <c r="R47">
        <v>65</v>
      </c>
      <c r="U47">
        <f t="shared" si="0"/>
        <v>242</v>
      </c>
    </row>
    <row r="48" spans="1:21" x14ac:dyDescent="0.25">
      <c r="A48">
        <v>47</v>
      </c>
      <c r="B48" t="s">
        <v>25</v>
      </c>
      <c r="C48" t="s">
        <v>23</v>
      </c>
      <c r="D48">
        <v>14.2</v>
      </c>
      <c r="E48" t="s">
        <v>22</v>
      </c>
      <c r="F48" t="s">
        <v>24</v>
      </c>
      <c r="G48">
        <v>6</v>
      </c>
      <c r="H48">
        <v>6</v>
      </c>
      <c r="I48">
        <v>5</v>
      </c>
      <c r="J48">
        <v>5</v>
      </c>
      <c r="K48">
        <v>5</v>
      </c>
      <c r="L48">
        <v>250</v>
      </c>
      <c r="M48">
        <v>250</v>
      </c>
      <c r="N48">
        <v>300</v>
      </c>
      <c r="O48">
        <v>300</v>
      </c>
      <c r="P48">
        <v>350</v>
      </c>
      <c r="Q48">
        <v>59.52</v>
      </c>
      <c r="R48">
        <v>71.430000000000007</v>
      </c>
      <c r="U48">
        <f t="shared" si="0"/>
        <v>330</v>
      </c>
    </row>
    <row r="49" spans="1:21" x14ac:dyDescent="0.25">
      <c r="A49">
        <v>48</v>
      </c>
      <c r="B49" t="s">
        <v>25</v>
      </c>
      <c r="C49" t="s">
        <v>23</v>
      </c>
      <c r="D49">
        <v>14.2</v>
      </c>
      <c r="E49" t="s">
        <v>22</v>
      </c>
      <c r="F49" t="s">
        <v>24</v>
      </c>
      <c r="G49">
        <v>6</v>
      </c>
      <c r="H49">
        <v>6</v>
      </c>
      <c r="I49">
        <v>5</v>
      </c>
      <c r="J49">
        <v>5</v>
      </c>
      <c r="K49">
        <v>5</v>
      </c>
      <c r="L49">
        <v>250</v>
      </c>
      <c r="M49">
        <v>250</v>
      </c>
      <c r="N49">
        <v>300</v>
      </c>
      <c r="O49">
        <v>300</v>
      </c>
      <c r="P49">
        <v>350</v>
      </c>
      <c r="Q49">
        <v>59.52</v>
      </c>
      <c r="R49">
        <v>71.430000000000007</v>
      </c>
      <c r="U49">
        <f t="shared" si="0"/>
        <v>330</v>
      </c>
    </row>
    <row r="50" spans="1:21" x14ac:dyDescent="0.25">
      <c r="A50">
        <v>49</v>
      </c>
      <c r="B50" t="s">
        <v>25</v>
      </c>
      <c r="C50" t="s">
        <v>19</v>
      </c>
      <c r="D50">
        <v>11</v>
      </c>
      <c r="E50" t="s">
        <v>20</v>
      </c>
      <c r="F50" t="s">
        <v>21</v>
      </c>
      <c r="G50">
        <v>6</v>
      </c>
      <c r="H50">
        <v>6</v>
      </c>
      <c r="I50">
        <v>4</v>
      </c>
      <c r="J50">
        <v>5</v>
      </c>
      <c r="K50">
        <v>6</v>
      </c>
      <c r="L50">
        <v>200</v>
      </c>
      <c r="M50">
        <v>200</v>
      </c>
      <c r="N50">
        <v>210</v>
      </c>
      <c r="O50">
        <v>210</v>
      </c>
      <c r="P50">
        <v>200</v>
      </c>
      <c r="Q50">
        <v>66.67</v>
      </c>
      <c r="R50">
        <v>68.33</v>
      </c>
      <c r="U50">
        <f t="shared" si="0"/>
        <v>231</v>
      </c>
    </row>
    <row r="51" spans="1:21" x14ac:dyDescent="0.25">
      <c r="A51">
        <v>50</v>
      </c>
      <c r="B51" t="s">
        <v>25</v>
      </c>
      <c r="C51" t="s">
        <v>23</v>
      </c>
      <c r="D51">
        <v>13.799999999999999</v>
      </c>
      <c r="E51" t="s">
        <v>22</v>
      </c>
      <c r="F51" t="s">
        <v>24</v>
      </c>
      <c r="G51">
        <v>6</v>
      </c>
      <c r="H51">
        <v>6</v>
      </c>
      <c r="I51">
        <v>6</v>
      </c>
      <c r="J51">
        <v>6</v>
      </c>
      <c r="K51">
        <v>6</v>
      </c>
      <c r="L51">
        <v>150</v>
      </c>
      <c r="M51">
        <v>180</v>
      </c>
      <c r="N51">
        <v>210</v>
      </c>
      <c r="O51">
        <v>180</v>
      </c>
      <c r="P51">
        <v>200</v>
      </c>
      <c r="Q51">
        <v>46.86</v>
      </c>
      <c r="R51">
        <v>60.16</v>
      </c>
      <c r="U51">
        <f t="shared" si="0"/>
        <v>231</v>
      </c>
    </row>
    <row r="52" spans="1:21" x14ac:dyDescent="0.25">
      <c r="A52">
        <v>51</v>
      </c>
      <c r="B52" t="s">
        <v>25</v>
      </c>
      <c r="C52" t="s">
        <v>23</v>
      </c>
      <c r="D52">
        <v>13.2</v>
      </c>
      <c r="E52" t="s">
        <v>22</v>
      </c>
      <c r="F52" t="s">
        <v>21</v>
      </c>
      <c r="G52">
        <v>6</v>
      </c>
      <c r="H52">
        <v>6</v>
      </c>
      <c r="I52">
        <v>5</v>
      </c>
      <c r="J52">
        <v>2</v>
      </c>
      <c r="K52">
        <v>4</v>
      </c>
      <c r="L52">
        <v>230</v>
      </c>
      <c r="M52">
        <v>220</v>
      </c>
      <c r="N52">
        <v>250</v>
      </c>
      <c r="O52">
        <v>250</v>
      </c>
      <c r="P52">
        <v>250</v>
      </c>
      <c r="Q52">
        <v>65.709999999999994</v>
      </c>
      <c r="R52">
        <v>69.290000000000006</v>
      </c>
      <c r="U52">
        <f t="shared" si="0"/>
        <v>275</v>
      </c>
    </row>
    <row r="53" spans="1:21" x14ac:dyDescent="0.25">
      <c r="A53">
        <v>52</v>
      </c>
      <c r="B53" t="s">
        <v>25</v>
      </c>
      <c r="C53" t="s">
        <v>23</v>
      </c>
      <c r="D53">
        <v>11.6</v>
      </c>
      <c r="E53" t="s">
        <v>20</v>
      </c>
      <c r="F53" t="s">
        <v>21</v>
      </c>
      <c r="G53">
        <v>6</v>
      </c>
      <c r="H53">
        <v>5</v>
      </c>
      <c r="I53">
        <v>6</v>
      </c>
      <c r="J53">
        <v>6</v>
      </c>
      <c r="K53">
        <v>6</v>
      </c>
      <c r="L53">
        <v>200</v>
      </c>
      <c r="M53">
        <v>220</v>
      </c>
      <c r="N53">
        <v>220</v>
      </c>
      <c r="O53">
        <v>250</v>
      </c>
      <c r="P53">
        <v>200</v>
      </c>
      <c r="Q53">
        <v>54.04</v>
      </c>
      <c r="R53">
        <v>60.14</v>
      </c>
      <c r="U53">
        <f t="shared" si="0"/>
        <v>242</v>
      </c>
    </row>
    <row r="54" spans="1:21" x14ac:dyDescent="0.25">
      <c r="A54">
        <v>53</v>
      </c>
      <c r="B54" t="s">
        <v>25</v>
      </c>
      <c r="C54" t="s">
        <v>23</v>
      </c>
      <c r="D54">
        <v>11.6</v>
      </c>
      <c r="E54" t="s">
        <v>20</v>
      </c>
      <c r="F54" t="s">
        <v>21</v>
      </c>
      <c r="G54">
        <v>6</v>
      </c>
      <c r="H54">
        <v>5</v>
      </c>
      <c r="I54">
        <v>6</v>
      </c>
      <c r="J54">
        <v>6</v>
      </c>
      <c r="K54">
        <v>6</v>
      </c>
      <c r="L54">
        <v>200</v>
      </c>
      <c r="M54">
        <v>220</v>
      </c>
      <c r="N54">
        <v>220</v>
      </c>
      <c r="O54">
        <v>250</v>
      </c>
      <c r="P54">
        <v>200</v>
      </c>
      <c r="Q54">
        <v>54.04</v>
      </c>
      <c r="R54">
        <v>60.14</v>
      </c>
      <c r="U54">
        <f t="shared" si="0"/>
        <v>242</v>
      </c>
    </row>
    <row r="55" spans="1:21" x14ac:dyDescent="0.25">
      <c r="A55">
        <v>54</v>
      </c>
      <c r="B55" t="s">
        <v>25</v>
      </c>
      <c r="C55" t="s">
        <v>19</v>
      </c>
      <c r="D55">
        <v>10.199999999999999</v>
      </c>
      <c r="E55" t="s">
        <v>22</v>
      </c>
      <c r="F55" t="s">
        <v>24</v>
      </c>
      <c r="G55">
        <v>6</v>
      </c>
      <c r="H55">
        <v>6</v>
      </c>
      <c r="I55">
        <v>6</v>
      </c>
      <c r="J55">
        <v>6</v>
      </c>
      <c r="K55">
        <v>6</v>
      </c>
      <c r="L55">
        <v>150</v>
      </c>
      <c r="M55">
        <v>150</v>
      </c>
      <c r="N55">
        <v>180</v>
      </c>
      <c r="O55">
        <v>160</v>
      </c>
      <c r="P55">
        <v>180</v>
      </c>
      <c r="Q55">
        <v>53.57</v>
      </c>
      <c r="R55">
        <v>59.82</v>
      </c>
      <c r="U55">
        <f t="shared" si="0"/>
        <v>198</v>
      </c>
    </row>
    <row r="56" spans="1:21" x14ac:dyDescent="0.25">
      <c r="A56">
        <v>55</v>
      </c>
      <c r="B56" t="s">
        <v>25</v>
      </c>
      <c r="C56" t="s">
        <v>19</v>
      </c>
      <c r="D56">
        <v>10.199999999999999</v>
      </c>
      <c r="E56" t="s">
        <v>22</v>
      </c>
      <c r="F56" t="s">
        <v>24</v>
      </c>
      <c r="G56">
        <v>6</v>
      </c>
      <c r="H56">
        <v>6</v>
      </c>
      <c r="I56">
        <v>6</v>
      </c>
      <c r="J56">
        <v>6</v>
      </c>
      <c r="K56">
        <v>6</v>
      </c>
      <c r="L56">
        <v>150</v>
      </c>
      <c r="M56">
        <v>150</v>
      </c>
      <c r="N56">
        <v>180</v>
      </c>
      <c r="O56">
        <v>160</v>
      </c>
      <c r="P56">
        <v>180</v>
      </c>
      <c r="Q56">
        <v>53.57</v>
      </c>
      <c r="R56">
        <v>59.82</v>
      </c>
      <c r="U56">
        <f t="shared" si="0"/>
        <v>198</v>
      </c>
    </row>
    <row r="57" spans="1:21" x14ac:dyDescent="0.25">
      <c r="A57">
        <v>56</v>
      </c>
      <c r="B57" t="s">
        <v>25</v>
      </c>
      <c r="C57" t="s">
        <v>23</v>
      </c>
      <c r="D57">
        <v>11.2</v>
      </c>
      <c r="E57" t="s">
        <v>22</v>
      </c>
      <c r="F57" t="s">
        <v>21</v>
      </c>
      <c r="G57">
        <v>6</v>
      </c>
      <c r="H57">
        <v>6</v>
      </c>
      <c r="I57">
        <v>4</v>
      </c>
      <c r="J57">
        <v>4</v>
      </c>
      <c r="K57">
        <v>6</v>
      </c>
      <c r="L57">
        <v>160</v>
      </c>
      <c r="M57">
        <v>180</v>
      </c>
      <c r="N57">
        <v>210</v>
      </c>
      <c r="O57">
        <v>210</v>
      </c>
      <c r="P57">
        <v>180</v>
      </c>
      <c r="Q57">
        <v>53.33</v>
      </c>
      <c r="R57">
        <v>65</v>
      </c>
      <c r="U57">
        <f t="shared" si="0"/>
        <v>231</v>
      </c>
    </row>
    <row r="58" spans="1:21" x14ac:dyDescent="0.25">
      <c r="A58">
        <v>57</v>
      </c>
      <c r="B58" t="s">
        <v>25</v>
      </c>
      <c r="C58" t="s">
        <v>23</v>
      </c>
      <c r="D58">
        <v>11.2</v>
      </c>
      <c r="E58" t="s">
        <v>22</v>
      </c>
      <c r="F58" t="s">
        <v>21</v>
      </c>
      <c r="G58">
        <v>6</v>
      </c>
      <c r="H58">
        <v>6</v>
      </c>
      <c r="I58">
        <v>4</v>
      </c>
      <c r="J58">
        <v>4</v>
      </c>
      <c r="K58">
        <v>6</v>
      </c>
      <c r="L58">
        <v>160</v>
      </c>
      <c r="M58">
        <v>180</v>
      </c>
      <c r="N58">
        <v>210</v>
      </c>
      <c r="O58">
        <v>210</v>
      </c>
      <c r="P58">
        <v>180</v>
      </c>
      <c r="Q58">
        <v>53.33</v>
      </c>
      <c r="R58">
        <v>65</v>
      </c>
      <c r="U58">
        <f t="shared" si="0"/>
        <v>231</v>
      </c>
    </row>
    <row r="59" spans="1:21" x14ac:dyDescent="0.25">
      <c r="A59">
        <v>58</v>
      </c>
      <c r="B59" t="s">
        <v>25</v>
      </c>
      <c r="C59" t="s">
        <v>23</v>
      </c>
      <c r="D59">
        <v>11.5</v>
      </c>
      <c r="E59" t="s">
        <v>20</v>
      </c>
      <c r="F59" t="s">
        <v>24</v>
      </c>
      <c r="G59">
        <v>5</v>
      </c>
      <c r="H59">
        <v>5</v>
      </c>
      <c r="I59">
        <v>6</v>
      </c>
      <c r="J59">
        <v>6</v>
      </c>
      <c r="K59">
        <v>6</v>
      </c>
      <c r="L59">
        <v>220</v>
      </c>
      <c r="M59">
        <v>210</v>
      </c>
      <c r="N59">
        <v>200</v>
      </c>
      <c r="O59">
        <v>200</v>
      </c>
      <c r="P59">
        <v>200</v>
      </c>
      <c r="Q59">
        <v>73.33</v>
      </c>
      <c r="R59">
        <v>67.5</v>
      </c>
      <c r="U59">
        <f t="shared" si="0"/>
        <v>220</v>
      </c>
    </row>
    <row r="60" spans="1:21" x14ac:dyDescent="0.25">
      <c r="A60">
        <v>59</v>
      </c>
      <c r="B60" t="s">
        <v>25</v>
      </c>
      <c r="C60" t="s">
        <v>19</v>
      </c>
      <c r="D60">
        <v>8.1999999999999993</v>
      </c>
      <c r="E60" t="s">
        <v>20</v>
      </c>
      <c r="F60" t="s">
        <v>21</v>
      </c>
      <c r="G60">
        <v>5</v>
      </c>
      <c r="H60">
        <v>4</v>
      </c>
      <c r="I60">
        <v>2</v>
      </c>
      <c r="J60">
        <v>4</v>
      </c>
      <c r="K60">
        <v>4</v>
      </c>
      <c r="L60">
        <v>140</v>
      </c>
      <c r="M60">
        <v>150</v>
      </c>
      <c r="N60">
        <v>180</v>
      </c>
      <c r="O60">
        <v>160</v>
      </c>
      <c r="P60">
        <v>150</v>
      </c>
      <c r="Q60">
        <v>63.64</v>
      </c>
      <c r="R60">
        <v>72.73</v>
      </c>
      <c r="U60">
        <f t="shared" si="0"/>
        <v>198</v>
      </c>
    </row>
    <row r="61" spans="1:21" x14ac:dyDescent="0.25">
      <c r="A61">
        <v>60</v>
      </c>
      <c r="B61" t="s">
        <v>25</v>
      </c>
      <c r="C61" t="s">
        <v>19</v>
      </c>
      <c r="D61">
        <v>8.1999999999999993</v>
      </c>
      <c r="E61" t="s">
        <v>20</v>
      </c>
      <c r="F61" t="s">
        <v>21</v>
      </c>
      <c r="G61">
        <v>5</v>
      </c>
      <c r="H61">
        <v>4</v>
      </c>
      <c r="I61">
        <v>2</v>
      </c>
      <c r="J61">
        <v>4</v>
      </c>
      <c r="K61">
        <v>4</v>
      </c>
      <c r="L61">
        <v>140</v>
      </c>
      <c r="M61">
        <v>150</v>
      </c>
      <c r="N61">
        <v>180</v>
      </c>
      <c r="O61">
        <v>160</v>
      </c>
      <c r="P61">
        <v>150</v>
      </c>
      <c r="Q61">
        <v>63.64</v>
      </c>
      <c r="R61">
        <v>72.73</v>
      </c>
      <c r="U61">
        <f t="shared" si="0"/>
        <v>198</v>
      </c>
    </row>
    <row r="62" spans="1:21" x14ac:dyDescent="0.25">
      <c r="A62">
        <v>61</v>
      </c>
      <c r="B62" t="s">
        <v>25</v>
      </c>
      <c r="C62" t="s">
        <v>19</v>
      </c>
      <c r="D62">
        <v>7.1999999999999993</v>
      </c>
      <c r="E62" t="s">
        <v>20</v>
      </c>
      <c r="F62" t="s">
        <v>24</v>
      </c>
      <c r="G62">
        <v>6</v>
      </c>
      <c r="H62">
        <v>6</v>
      </c>
      <c r="I62">
        <v>4</v>
      </c>
      <c r="J62">
        <v>4</v>
      </c>
      <c r="K62">
        <v>3</v>
      </c>
      <c r="L62">
        <v>100</v>
      </c>
      <c r="M62">
        <v>120</v>
      </c>
      <c r="N62">
        <v>140</v>
      </c>
      <c r="O62">
        <v>150</v>
      </c>
      <c r="P62">
        <v>180</v>
      </c>
      <c r="Q62">
        <v>50</v>
      </c>
      <c r="R62">
        <v>73.75</v>
      </c>
      <c r="U62">
        <f t="shared" si="0"/>
        <v>154</v>
      </c>
    </row>
    <row r="63" spans="1:21" x14ac:dyDescent="0.25">
      <c r="A63">
        <v>62</v>
      </c>
      <c r="B63" t="s">
        <v>25</v>
      </c>
      <c r="C63" t="s">
        <v>19</v>
      </c>
      <c r="D63">
        <v>7.1999999999999993</v>
      </c>
      <c r="E63" t="s">
        <v>20</v>
      </c>
      <c r="F63" t="s">
        <v>24</v>
      </c>
      <c r="G63">
        <v>6</v>
      </c>
      <c r="H63">
        <v>6</v>
      </c>
      <c r="I63">
        <v>4</v>
      </c>
      <c r="J63">
        <v>4</v>
      </c>
      <c r="K63">
        <v>3</v>
      </c>
      <c r="L63">
        <v>100</v>
      </c>
      <c r="M63">
        <v>120</v>
      </c>
      <c r="N63">
        <v>140</v>
      </c>
      <c r="O63">
        <v>150</v>
      </c>
      <c r="P63">
        <v>180</v>
      </c>
      <c r="Q63">
        <v>50</v>
      </c>
      <c r="R63">
        <v>73.75</v>
      </c>
      <c r="U63">
        <f t="shared" si="0"/>
        <v>154</v>
      </c>
    </row>
    <row r="64" spans="1:21" x14ac:dyDescent="0.25">
      <c r="A64">
        <v>63</v>
      </c>
      <c r="B64" t="s">
        <v>25</v>
      </c>
      <c r="C64" t="s">
        <v>23</v>
      </c>
      <c r="D64">
        <v>12.4</v>
      </c>
      <c r="E64" t="s">
        <v>20</v>
      </c>
      <c r="F64" t="s">
        <v>21</v>
      </c>
      <c r="G64">
        <v>6</v>
      </c>
      <c r="H64">
        <v>6</v>
      </c>
      <c r="I64">
        <v>6</v>
      </c>
      <c r="J64">
        <v>5</v>
      </c>
      <c r="K64">
        <v>3</v>
      </c>
      <c r="L64">
        <v>200</v>
      </c>
      <c r="M64">
        <v>200</v>
      </c>
      <c r="N64">
        <v>200</v>
      </c>
      <c r="O64">
        <v>270</v>
      </c>
      <c r="P64">
        <v>310</v>
      </c>
      <c r="Q64">
        <v>57.14</v>
      </c>
      <c r="R64">
        <v>70</v>
      </c>
      <c r="U64">
        <f t="shared" si="0"/>
        <v>220</v>
      </c>
    </row>
    <row r="65" spans="1:21" x14ac:dyDescent="0.25">
      <c r="A65">
        <v>64</v>
      </c>
      <c r="B65" t="s">
        <v>25</v>
      </c>
      <c r="C65" t="s">
        <v>23</v>
      </c>
      <c r="D65">
        <v>12.4</v>
      </c>
      <c r="E65" t="s">
        <v>20</v>
      </c>
      <c r="F65" t="s">
        <v>21</v>
      </c>
      <c r="G65">
        <v>6</v>
      </c>
      <c r="H65">
        <v>6</v>
      </c>
      <c r="I65">
        <v>6</v>
      </c>
      <c r="J65">
        <v>5</v>
      </c>
      <c r="K65">
        <v>3</v>
      </c>
      <c r="L65">
        <v>200</v>
      </c>
      <c r="M65">
        <v>200</v>
      </c>
      <c r="N65">
        <v>200</v>
      </c>
      <c r="O65">
        <v>270</v>
      </c>
      <c r="P65">
        <v>310</v>
      </c>
      <c r="Q65">
        <v>57.14</v>
      </c>
      <c r="R65">
        <v>70</v>
      </c>
      <c r="U65">
        <f t="shared" si="0"/>
        <v>220</v>
      </c>
    </row>
    <row r="66" spans="1:21" x14ac:dyDescent="0.25">
      <c r="A66">
        <v>65</v>
      </c>
      <c r="B66" t="s">
        <v>25</v>
      </c>
      <c r="C66" t="s">
        <v>23</v>
      </c>
      <c r="D66">
        <v>14</v>
      </c>
      <c r="E66" t="s">
        <v>20</v>
      </c>
      <c r="F66" t="s">
        <v>24</v>
      </c>
      <c r="G66">
        <v>6</v>
      </c>
      <c r="H66">
        <v>6</v>
      </c>
      <c r="I66">
        <v>6</v>
      </c>
      <c r="J66">
        <v>4</v>
      </c>
      <c r="K66">
        <v>3</v>
      </c>
      <c r="L66">
        <v>250</v>
      </c>
      <c r="M66">
        <v>220</v>
      </c>
      <c r="N66">
        <v>250</v>
      </c>
      <c r="O66">
        <v>230</v>
      </c>
      <c r="P66">
        <v>300</v>
      </c>
      <c r="Q66">
        <v>67.569999999999993</v>
      </c>
      <c r="R66">
        <v>70.27</v>
      </c>
      <c r="U66">
        <f t="shared" si="0"/>
        <v>275</v>
      </c>
    </row>
    <row r="67" spans="1:21" x14ac:dyDescent="0.25">
      <c r="A67">
        <v>66</v>
      </c>
      <c r="B67" t="s">
        <v>25</v>
      </c>
      <c r="C67" t="s">
        <v>19</v>
      </c>
      <c r="D67">
        <v>8</v>
      </c>
      <c r="E67" t="s">
        <v>20</v>
      </c>
      <c r="F67" t="s">
        <v>21</v>
      </c>
      <c r="G67">
        <v>6</v>
      </c>
      <c r="H67">
        <v>5</v>
      </c>
      <c r="I67">
        <v>4</v>
      </c>
      <c r="J67">
        <v>4</v>
      </c>
      <c r="K67">
        <v>2</v>
      </c>
      <c r="L67">
        <v>150</v>
      </c>
      <c r="M67">
        <v>160</v>
      </c>
      <c r="N67">
        <v>200</v>
      </c>
      <c r="O67">
        <v>210</v>
      </c>
      <c r="P67">
        <v>200</v>
      </c>
      <c r="Q67">
        <v>57.7</v>
      </c>
      <c r="R67">
        <v>74.040000000000006</v>
      </c>
      <c r="U67">
        <f t="shared" ref="U67:U83" si="1">N67 +(N67/10)</f>
        <v>220</v>
      </c>
    </row>
    <row r="68" spans="1:21" x14ac:dyDescent="0.25">
      <c r="A68">
        <v>67</v>
      </c>
      <c r="B68" t="s">
        <v>25</v>
      </c>
      <c r="C68" t="s">
        <v>23</v>
      </c>
      <c r="D68">
        <v>11.5</v>
      </c>
      <c r="E68" t="s">
        <v>20</v>
      </c>
      <c r="F68" t="s">
        <v>21</v>
      </c>
      <c r="G68">
        <v>6</v>
      </c>
      <c r="H68">
        <v>5</v>
      </c>
      <c r="I68">
        <v>5</v>
      </c>
      <c r="J68">
        <v>2</v>
      </c>
      <c r="K68">
        <v>1</v>
      </c>
      <c r="L68">
        <v>200</v>
      </c>
      <c r="M68">
        <v>220</v>
      </c>
      <c r="N68">
        <v>220</v>
      </c>
      <c r="O68">
        <v>250</v>
      </c>
      <c r="P68">
        <v>300</v>
      </c>
      <c r="Q68">
        <v>66.67</v>
      </c>
      <c r="R68">
        <v>82.5</v>
      </c>
      <c r="U68">
        <f t="shared" si="1"/>
        <v>242</v>
      </c>
    </row>
    <row r="69" spans="1:21" x14ac:dyDescent="0.25">
      <c r="A69">
        <v>68</v>
      </c>
      <c r="B69" t="s">
        <v>25</v>
      </c>
      <c r="C69" t="s">
        <v>23</v>
      </c>
      <c r="D69">
        <v>11.5</v>
      </c>
      <c r="E69" t="s">
        <v>20</v>
      </c>
      <c r="F69" t="s">
        <v>21</v>
      </c>
      <c r="G69">
        <v>6</v>
      </c>
      <c r="H69">
        <v>5</v>
      </c>
      <c r="I69">
        <v>5</v>
      </c>
      <c r="J69">
        <v>2</v>
      </c>
      <c r="K69">
        <v>1</v>
      </c>
      <c r="L69">
        <v>200</v>
      </c>
      <c r="M69">
        <v>220</v>
      </c>
      <c r="N69">
        <v>220</v>
      </c>
      <c r="O69">
        <v>250</v>
      </c>
      <c r="P69">
        <v>300</v>
      </c>
      <c r="Q69">
        <v>66.67</v>
      </c>
      <c r="R69">
        <v>82.5</v>
      </c>
      <c r="U69">
        <f t="shared" si="1"/>
        <v>242</v>
      </c>
    </row>
    <row r="70" spans="1:21" x14ac:dyDescent="0.25">
      <c r="A70">
        <v>69</v>
      </c>
      <c r="B70" t="s">
        <v>25</v>
      </c>
      <c r="C70" t="s">
        <v>19</v>
      </c>
      <c r="D70">
        <v>7.6999999999999993</v>
      </c>
      <c r="E70" t="s">
        <v>20</v>
      </c>
      <c r="F70" t="s">
        <v>24</v>
      </c>
      <c r="G70">
        <v>6</v>
      </c>
      <c r="H70">
        <v>5</v>
      </c>
      <c r="I70">
        <v>5</v>
      </c>
      <c r="J70">
        <v>5</v>
      </c>
      <c r="K70">
        <v>5</v>
      </c>
      <c r="L70">
        <v>140</v>
      </c>
      <c r="M70">
        <v>150</v>
      </c>
      <c r="N70">
        <v>180</v>
      </c>
      <c r="O70">
        <v>160</v>
      </c>
      <c r="P70">
        <v>160</v>
      </c>
      <c r="Q70">
        <v>63.64</v>
      </c>
      <c r="R70">
        <v>73.86</v>
      </c>
      <c r="U70">
        <f t="shared" si="1"/>
        <v>198</v>
      </c>
    </row>
    <row r="71" spans="1:21" x14ac:dyDescent="0.25">
      <c r="A71">
        <v>70</v>
      </c>
      <c r="B71" t="s">
        <v>25</v>
      </c>
      <c r="C71" t="s">
        <v>19</v>
      </c>
      <c r="D71">
        <v>7.6999999999999993</v>
      </c>
      <c r="E71" t="s">
        <v>20</v>
      </c>
      <c r="F71" t="s">
        <v>24</v>
      </c>
      <c r="G71">
        <v>6</v>
      </c>
      <c r="H71">
        <v>5</v>
      </c>
      <c r="I71">
        <v>5</v>
      </c>
      <c r="J71">
        <v>5</v>
      </c>
      <c r="K71">
        <v>5</v>
      </c>
      <c r="L71">
        <v>140</v>
      </c>
      <c r="M71">
        <v>150</v>
      </c>
      <c r="N71">
        <v>180</v>
      </c>
      <c r="O71">
        <v>160</v>
      </c>
      <c r="P71">
        <v>160</v>
      </c>
      <c r="Q71">
        <v>63.64</v>
      </c>
      <c r="R71">
        <v>73.86</v>
      </c>
      <c r="U71">
        <f t="shared" si="1"/>
        <v>198</v>
      </c>
    </row>
    <row r="72" spans="1:21" x14ac:dyDescent="0.25">
      <c r="A72">
        <v>71</v>
      </c>
      <c r="B72" t="s">
        <v>25</v>
      </c>
      <c r="C72" t="s">
        <v>19</v>
      </c>
      <c r="D72">
        <v>10.1</v>
      </c>
      <c r="E72" t="s">
        <v>20</v>
      </c>
      <c r="F72" t="s">
        <v>21</v>
      </c>
      <c r="G72">
        <v>3</v>
      </c>
      <c r="H72">
        <v>1</v>
      </c>
      <c r="I72">
        <v>2</v>
      </c>
      <c r="J72">
        <v>2</v>
      </c>
      <c r="K72">
        <v>1</v>
      </c>
      <c r="L72">
        <v>200</v>
      </c>
      <c r="M72">
        <v>200</v>
      </c>
      <c r="N72">
        <v>210</v>
      </c>
      <c r="O72">
        <v>210</v>
      </c>
      <c r="P72">
        <v>200</v>
      </c>
      <c r="Q72">
        <v>80</v>
      </c>
      <c r="R72">
        <v>82</v>
      </c>
      <c r="U72">
        <f t="shared" si="1"/>
        <v>231</v>
      </c>
    </row>
    <row r="73" spans="1:21" x14ac:dyDescent="0.25">
      <c r="A73">
        <v>72</v>
      </c>
      <c r="B73" t="s">
        <v>25</v>
      </c>
      <c r="C73" t="s">
        <v>19</v>
      </c>
      <c r="D73">
        <v>10.1</v>
      </c>
      <c r="E73" t="s">
        <v>20</v>
      </c>
      <c r="F73" t="s">
        <v>21</v>
      </c>
      <c r="G73">
        <v>3</v>
      </c>
      <c r="H73">
        <v>1</v>
      </c>
      <c r="I73">
        <v>2</v>
      </c>
      <c r="J73">
        <v>2</v>
      </c>
      <c r="K73">
        <v>1</v>
      </c>
      <c r="L73">
        <v>200</v>
      </c>
      <c r="M73">
        <v>200</v>
      </c>
      <c r="N73">
        <v>210</v>
      </c>
      <c r="O73">
        <v>210</v>
      </c>
      <c r="P73">
        <v>200</v>
      </c>
      <c r="Q73">
        <v>80</v>
      </c>
      <c r="R73">
        <v>82</v>
      </c>
      <c r="U73">
        <f t="shared" si="1"/>
        <v>231</v>
      </c>
    </row>
    <row r="74" spans="1:21" x14ac:dyDescent="0.25">
      <c r="A74">
        <v>73</v>
      </c>
      <c r="B74" t="s">
        <v>25</v>
      </c>
      <c r="C74" t="s">
        <v>19</v>
      </c>
      <c r="D74">
        <v>10</v>
      </c>
      <c r="E74" t="s">
        <v>22</v>
      </c>
      <c r="F74" t="s">
        <v>24</v>
      </c>
      <c r="G74">
        <v>6</v>
      </c>
      <c r="H74">
        <v>6</v>
      </c>
      <c r="I74">
        <v>6</v>
      </c>
      <c r="J74">
        <v>6</v>
      </c>
      <c r="K74">
        <v>5</v>
      </c>
      <c r="L74">
        <v>200</v>
      </c>
      <c r="M74">
        <v>180</v>
      </c>
      <c r="N74">
        <v>220</v>
      </c>
      <c r="O74">
        <v>240</v>
      </c>
      <c r="P74">
        <v>250</v>
      </c>
      <c r="Q74">
        <v>57.14</v>
      </c>
      <c r="R74">
        <v>63.57</v>
      </c>
      <c r="U74">
        <f t="shared" si="1"/>
        <v>242</v>
      </c>
    </row>
    <row r="75" spans="1:21" x14ac:dyDescent="0.25">
      <c r="A75">
        <v>74</v>
      </c>
      <c r="B75" t="s">
        <v>25</v>
      </c>
      <c r="C75" t="s">
        <v>23</v>
      </c>
      <c r="D75">
        <v>13.299999999999999</v>
      </c>
      <c r="E75" t="s">
        <v>20</v>
      </c>
      <c r="F75" t="s">
        <v>21</v>
      </c>
      <c r="G75">
        <v>6</v>
      </c>
      <c r="H75">
        <v>6</v>
      </c>
      <c r="I75">
        <v>5</v>
      </c>
      <c r="J75">
        <v>5</v>
      </c>
      <c r="K75">
        <v>3</v>
      </c>
      <c r="L75">
        <v>240</v>
      </c>
      <c r="M75">
        <v>250</v>
      </c>
      <c r="N75">
        <v>250</v>
      </c>
      <c r="O75">
        <v>250</v>
      </c>
      <c r="P75">
        <v>300</v>
      </c>
      <c r="Q75">
        <v>60</v>
      </c>
      <c r="R75">
        <v>65.62</v>
      </c>
      <c r="U75">
        <f t="shared" si="1"/>
        <v>275</v>
      </c>
    </row>
    <row r="76" spans="1:21" x14ac:dyDescent="0.25">
      <c r="A76">
        <v>75</v>
      </c>
      <c r="B76" t="s">
        <v>25</v>
      </c>
      <c r="C76" t="s">
        <v>23</v>
      </c>
      <c r="D76">
        <v>13.299999999999999</v>
      </c>
      <c r="E76" t="s">
        <v>20</v>
      </c>
      <c r="F76" t="s">
        <v>21</v>
      </c>
      <c r="G76">
        <v>6</v>
      </c>
      <c r="H76">
        <v>6</v>
      </c>
      <c r="I76">
        <v>5</v>
      </c>
      <c r="J76">
        <v>5</v>
      </c>
      <c r="K76">
        <v>3</v>
      </c>
      <c r="L76">
        <v>240</v>
      </c>
      <c r="M76">
        <v>250</v>
      </c>
      <c r="N76">
        <v>250</v>
      </c>
      <c r="O76">
        <v>250</v>
      </c>
      <c r="P76">
        <v>300</v>
      </c>
      <c r="Q76">
        <v>60</v>
      </c>
      <c r="R76">
        <v>65.62</v>
      </c>
      <c r="U76">
        <f t="shared" si="1"/>
        <v>275</v>
      </c>
    </row>
    <row r="77" spans="1:21" x14ac:dyDescent="0.25">
      <c r="A77">
        <v>76</v>
      </c>
      <c r="B77" t="s">
        <v>25</v>
      </c>
      <c r="C77" t="s">
        <v>19</v>
      </c>
      <c r="D77">
        <v>9.7999999999999989</v>
      </c>
      <c r="E77" t="s">
        <v>20</v>
      </c>
      <c r="F77" t="s">
        <v>21</v>
      </c>
      <c r="G77">
        <v>6</v>
      </c>
      <c r="H77">
        <v>5</v>
      </c>
      <c r="I77">
        <v>4</v>
      </c>
      <c r="J77">
        <v>2</v>
      </c>
      <c r="K77">
        <v>1</v>
      </c>
      <c r="L77">
        <v>180</v>
      </c>
      <c r="M77">
        <v>220</v>
      </c>
      <c r="N77">
        <v>250</v>
      </c>
      <c r="O77">
        <v>300</v>
      </c>
      <c r="P77">
        <v>300</v>
      </c>
      <c r="Q77">
        <v>60</v>
      </c>
      <c r="R77">
        <v>89.17</v>
      </c>
      <c r="U77">
        <f t="shared" si="1"/>
        <v>275</v>
      </c>
    </row>
    <row r="78" spans="1:21" x14ac:dyDescent="0.25">
      <c r="A78">
        <v>77</v>
      </c>
      <c r="B78" t="s">
        <v>25</v>
      </c>
      <c r="C78" t="s">
        <v>23</v>
      </c>
      <c r="D78">
        <v>11.4</v>
      </c>
      <c r="E78" t="s">
        <v>22</v>
      </c>
      <c r="F78" t="s">
        <v>21</v>
      </c>
      <c r="G78">
        <v>6</v>
      </c>
      <c r="H78">
        <v>5</v>
      </c>
      <c r="I78">
        <v>4</v>
      </c>
      <c r="J78">
        <v>5</v>
      </c>
      <c r="K78">
        <v>6</v>
      </c>
      <c r="L78">
        <v>200</v>
      </c>
      <c r="M78">
        <v>200</v>
      </c>
      <c r="N78">
        <v>280</v>
      </c>
      <c r="O78">
        <v>200</v>
      </c>
      <c r="P78">
        <v>220</v>
      </c>
      <c r="Q78">
        <v>57.14</v>
      </c>
      <c r="R78">
        <v>64.290000000000006</v>
      </c>
      <c r="U78">
        <f t="shared" si="1"/>
        <v>308</v>
      </c>
    </row>
    <row r="79" spans="1:21" x14ac:dyDescent="0.25">
      <c r="A79">
        <v>78</v>
      </c>
      <c r="B79" t="s">
        <v>25</v>
      </c>
      <c r="C79" t="s">
        <v>23</v>
      </c>
      <c r="D79">
        <v>11.2</v>
      </c>
      <c r="E79" t="s">
        <v>20</v>
      </c>
      <c r="F79" t="s">
        <v>21</v>
      </c>
      <c r="G79">
        <v>5</v>
      </c>
      <c r="H79">
        <v>6</v>
      </c>
      <c r="I79">
        <v>3</v>
      </c>
      <c r="J79">
        <v>6</v>
      </c>
      <c r="K79">
        <v>4</v>
      </c>
      <c r="L79">
        <v>200</v>
      </c>
      <c r="M79">
        <v>220</v>
      </c>
      <c r="N79">
        <v>300</v>
      </c>
      <c r="O79">
        <v>200</v>
      </c>
      <c r="P79">
        <v>250</v>
      </c>
      <c r="Q79">
        <v>57.14</v>
      </c>
      <c r="R79">
        <v>69.290000000000006</v>
      </c>
      <c r="U79">
        <f t="shared" si="1"/>
        <v>330</v>
      </c>
    </row>
    <row r="80" spans="1:21" x14ac:dyDescent="0.25">
      <c r="A80">
        <v>79</v>
      </c>
      <c r="B80" t="s">
        <v>25</v>
      </c>
      <c r="C80" t="s">
        <v>19</v>
      </c>
      <c r="D80">
        <v>7.5</v>
      </c>
      <c r="E80" t="s">
        <v>22</v>
      </c>
      <c r="F80" t="s">
        <v>21</v>
      </c>
      <c r="G80">
        <v>5</v>
      </c>
      <c r="H80">
        <v>2</v>
      </c>
      <c r="I80">
        <v>5</v>
      </c>
      <c r="J80">
        <v>6</v>
      </c>
      <c r="K80">
        <v>5</v>
      </c>
      <c r="L80">
        <v>180</v>
      </c>
      <c r="M80">
        <v>200</v>
      </c>
      <c r="N80">
        <v>180</v>
      </c>
      <c r="O80">
        <v>150</v>
      </c>
      <c r="P80">
        <v>180</v>
      </c>
      <c r="Q80">
        <v>81.819999999999993</v>
      </c>
      <c r="R80">
        <v>80.680000000000007</v>
      </c>
      <c r="U80">
        <f t="shared" si="1"/>
        <v>198</v>
      </c>
    </row>
    <row r="81" spans="1:21" x14ac:dyDescent="0.25">
      <c r="A81">
        <v>80</v>
      </c>
      <c r="B81" t="s">
        <v>25</v>
      </c>
      <c r="C81" t="s">
        <v>19</v>
      </c>
      <c r="D81">
        <v>7.5</v>
      </c>
      <c r="E81" t="s">
        <v>22</v>
      </c>
      <c r="F81" t="s">
        <v>21</v>
      </c>
      <c r="G81">
        <v>5</v>
      </c>
      <c r="H81">
        <v>2</v>
      </c>
      <c r="I81">
        <v>5</v>
      </c>
      <c r="J81">
        <v>6</v>
      </c>
      <c r="K81">
        <v>5</v>
      </c>
      <c r="L81">
        <v>180</v>
      </c>
      <c r="M81">
        <v>200</v>
      </c>
      <c r="N81">
        <v>180</v>
      </c>
      <c r="O81">
        <v>150</v>
      </c>
      <c r="P81">
        <v>180</v>
      </c>
      <c r="Q81">
        <v>81.819999999999993</v>
      </c>
      <c r="R81">
        <v>80.680000000000007</v>
      </c>
      <c r="U81">
        <f t="shared" si="1"/>
        <v>198</v>
      </c>
    </row>
    <row r="82" spans="1:21" x14ac:dyDescent="0.25">
      <c r="A82">
        <v>81</v>
      </c>
      <c r="B82" t="s">
        <v>25</v>
      </c>
      <c r="C82" t="s">
        <v>23</v>
      </c>
      <c r="D82">
        <v>12.7</v>
      </c>
      <c r="E82" t="s">
        <v>20</v>
      </c>
      <c r="F82" t="s">
        <v>21</v>
      </c>
      <c r="G82">
        <v>6</v>
      </c>
      <c r="H82">
        <v>6</v>
      </c>
      <c r="I82">
        <v>6</v>
      </c>
      <c r="J82">
        <v>6</v>
      </c>
      <c r="K82">
        <v>6</v>
      </c>
      <c r="L82">
        <v>150</v>
      </c>
      <c r="M82">
        <v>180</v>
      </c>
      <c r="N82">
        <v>220</v>
      </c>
      <c r="O82">
        <v>250</v>
      </c>
      <c r="P82">
        <v>180</v>
      </c>
      <c r="Q82">
        <v>40.54</v>
      </c>
      <c r="R82">
        <v>56.08</v>
      </c>
      <c r="U82">
        <f t="shared" si="1"/>
        <v>242</v>
      </c>
    </row>
    <row r="83" spans="1:21" x14ac:dyDescent="0.25">
      <c r="A83">
        <v>82</v>
      </c>
      <c r="B83" t="s">
        <v>25</v>
      </c>
      <c r="C83" t="s">
        <v>19</v>
      </c>
      <c r="D83">
        <v>7.1</v>
      </c>
      <c r="E83" t="s">
        <v>22</v>
      </c>
      <c r="F83" t="s">
        <v>24</v>
      </c>
      <c r="G83">
        <v>6</v>
      </c>
      <c r="H83">
        <v>6</v>
      </c>
      <c r="I83">
        <v>5</v>
      </c>
      <c r="J83">
        <v>5</v>
      </c>
      <c r="K83">
        <v>5</v>
      </c>
      <c r="L83">
        <v>100</v>
      </c>
      <c r="M83">
        <v>120</v>
      </c>
      <c r="N83">
        <v>140</v>
      </c>
      <c r="O83">
        <v>140</v>
      </c>
      <c r="P83">
        <v>140</v>
      </c>
      <c r="Q83">
        <v>50</v>
      </c>
      <c r="R83">
        <v>67.5</v>
      </c>
      <c r="U83">
        <f t="shared" si="1"/>
        <v>154</v>
      </c>
    </row>
  </sheetData>
  <sortState xmlns:xlrd2="http://schemas.microsoft.com/office/spreadsheetml/2017/richdata2" ref="A2:R83">
    <sortCondition ref="B2:B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Petronio Fagundes de Oliveira Filho</cp:lastModifiedBy>
  <dcterms:created xsi:type="dcterms:W3CDTF">2025-09-22T16:44:30Z</dcterms:created>
  <dcterms:modified xsi:type="dcterms:W3CDTF">2025-09-22T21:34:00Z</dcterms:modified>
</cp:coreProperties>
</file>